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OT 1 Sjednica" sheetId="1" state="visible" r:id="rId1"/>
    <sheet xmlns:r="http://schemas.openxmlformats.org/officeDocument/2006/relationships" name="LOT 1 Hamzići" sheetId="2" state="visible" r:id="rId2"/>
    <sheet xmlns:r="http://schemas.openxmlformats.org/officeDocument/2006/relationships" name="REKAPITULACIJA LOT 1" sheetId="3" state="visible" r:id="rId3"/>
  </sheets>
  <definedNames>
    <definedName name="_xlnm.Print_Titles" localSheetId="0">'LOT 1 Sjednica'!$8:$9</definedName>
    <definedName name="_xlnm.Print_Area" localSheetId="0">'LOT 1 Sjednica'!$A$1:$F$28</definedName>
    <definedName name="_xlnm.Print_Titles" localSheetId="1">'LOT 1 Hamzići'!$8:$9</definedName>
    <definedName name="_xlnm.Print_Area" localSheetId="1">'LOT 1 Hamzići'!$A$1:$F$29</definedName>
    <definedName name="_xlnm.Print_Area" localSheetId="2">'REKAPITULACIJA LOT 1'!$A$1:$F$29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&quot; KM&quot;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238"/>
      <family val="2"/>
      <b val="1"/>
      <sz val="11"/>
    </font>
    <font>
      <name val="Arial"/>
      <charset val="238"/>
      <family val="2"/>
      <sz val="11"/>
    </font>
    <font>
      <name val="Arial"/>
      <charset val="1"/>
      <family val="0"/>
      <i val="1"/>
      <sz val="9"/>
    </font>
    <font>
      <name val="Arial"/>
      <charset val="1"/>
      <family val="0"/>
      <b val="1"/>
      <sz val="9"/>
    </font>
    <font>
      <name val="Arial"/>
      <charset val="1"/>
      <family val="0"/>
      <b val="1"/>
      <sz val="10"/>
    </font>
    <font>
      <name val="Arial"/>
      <charset val="1"/>
      <family val="0"/>
      <sz val="9"/>
    </font>
    <font>
      <name val="Arial"/>
      <charset val="238"/>
      <family val="2"/>
      <sz val="9"/>
    </font>
    <font>
      <name val="Arial"/>
      <charset val="238"/>
      <family val="2"/>
      <b val="1"/>
      <sz val="10"/>
    </font>
    <font>
      <name val="Cambria"/>
      <charset val="1"/>
      <family val="0"/>
      <b val="1"/>
      <sz val="10"/>
    </font>
    <font>
      <name val="Cambria"/>
      <charset val="1"/>
      <family val="0"/>
      <sz val="10"/>
    </font>
    <font>
      <name val="Arial"/>
      <charset val="1"/>
      <family val="2"/>
      <color theme="1"/>
      <sz val="11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9"/>
    </font>
    <font>
      <name val="Arial"/>
      <charset val="1"/>
      <family val="2"/>
      <b val="1"/>
      <sz val="10"/>
    </font>
    <font>
      <name val="Arial"/>
      <charset val="1"/>
      <family val="2"/>
      <color theme="1"/>
      <sz val="9"/>
    </font>
    <font>
      <name val="Arial"/>
      <charset val="238"/>
      <family val="2"/>
      <b val="1"/>
      <sz val="9"/>
    </font>
  </fonts>
  <fills count="8">
    <fill>
      <patternFill/>
    </fill>
    <fill>
      <patternFill patternType="gray125"/>
    </fill>
    <fill>
      <patternFill patternType="solid">
        <fgColor rgb="FFE8E8E8"/>
        <bgColor rgb="FFEBF1DE"/>
      </patternFill>
    </fill>
    <fill>
      <patternFill patternType="solid">
        <fgColor theme="6" tint="0.7999000000000001"/>
        <bgColor rgb="FFE8E8E8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E8E8E8"/>
      </patternFill>
    </fill>
    <fill>
      <patternFill patternType="solid">
        <fgColor rgb="FFDCEEDC"/>
        <bgColor rgb="FFEBF1DE"/>
      </patternFill>
    </fill>
    <fill>
      <patternFill patternType="solid">
        <fgColor rgb="FFF8DEDE"/>
        <bgColor rgb="FFE8E8E8"/>
      </patternFill>
    </fill>
  </fills>
  <borders count="24">
    <border>
      <left/>
      <right/>
      <top/>
      <bottom/>
      <diagonal/>
    </border>
    <border>
      <left style="thin"/>
      <right style="thin">
        <color rgb="FF808080"/>
      </right>
      <top style="thin"/>
      <bottom/>
      <diagonal/>
    </border>
    <border>
      <left style="thin">
        <color rgb="FF808080"/>
      </left>
      <right style="thin">
        <color rgb="FF808080"/>
      </right>
      <top style="thin"/>
      <bottom/>
      <diagonal/>
    </border>
    <border>
      <left style="thin">
        <color rgb="FF808080"/>
      </left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>
        <color rgb="FF808080"/>
      </right>
      <top style="thin"/>
      <bottom style="thin"/>
      <diagonal/>
    </border>
    <border>
      <left/>
      <right style="thin">
        <color rgb="FF808080"/>
      </right>
      <top style="thin"/>
      <bottom style="thin"/>
      <diagonal/>
    </border>
    <border>
      <left style="thin">
        <color rgb="FF808080"/>
      </left>
      <right style="thin"/>
      <top/>
      <bottom style="thin"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/>
      <bottom style="thin"/>
      <diagonal/>
    </border>
    <border>
      <left style="thin">
        <color rgb="FF808080"/>
      </left>
      <right style="thin"/>
      <top style="thin"/>
      <bottom style="thin"/>
      <diagonal/>
    </border>
    <border>
      <left style="thin">
        <color rgb="FF808080"/>
      </left>
      <right/>
      <top style="thin"/>
      <bottom style="thin">
        <color rgb="FF808080"/>
      </bottom>
      <diagonal/>
    </border>
    <border>
      <left/>
      <right/>
      <top style="thin"/>
      <bottom style="thin">
        <color rgb="FF808080"/>
      </bottom>
      <diagonal/>
    </border>
    <border>
      <left/>
      <right style="thin">
        <color rgb="FF808080"/>
      </right>
      <top style="thin"/>
      <bottom style="thin">
        <color rgb="FF80808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general" vertical="center" wrapText="1"/>
    </xf>
    <xf numFmtId="0" fontId="0" fillId="3" borderId="5" applyAlignment="1" pivotButton="0" quotePrefix="0" xfId="0">
      <alignment horizontal="general" vertical="bottom"/>
    </xf>
    <xf numFmtId="0" fontId="8" fillId="3" borderId="5" applyAlignment="1" pivotButton="0" quotePrefix="0" xfId="0">
      <alignment horizontal="general" vertical="center"/>
    </xf>
    <xf numFmtId="0" fontId="0" fillId="3" borderId="6" applyAlignment="1" pivotButton="0" quotePrefix="0" xfId="0">
      <alignment horizontal="general" vertical="center"/>
    </xf>
    <xf numFmtId="0" fontId="8" fillId="3" borderId="6" applyAlignment="1" pivotButton="0" quotePrefix="0" xfId="0">
      <alignment horizontal="right" vertical="center"/>
    </xf>
    <xf numFmtId="164" fontId="8" fillId="3" borderId="7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general" vertical="center" wrapText="1"/>
    </xf>
    <xf numFmtId="0" fontId="0" fillId="2" borderId="10" applyAlignment="1" pivotButton="0" quotePrefix="0" xfId="0">
      <alignment horizontal="general" vertical="center"/>
    </xf>
    <xf numFmtId="0" fontId="0" fillId="2" borderId="11" applyAlignment="1" pivotButton="0" quotePrefix="0" xfId="0">
      <alignment horizontal="general" vertical="center"/>
    </xf>
    <xf numFmtId="0" fontId="9" fillId="0" borderId="12" applyAlignment="1" pivotButton="0" quotePrefix="0" xfId="0">
      <alignment horizontal="center" vertical="center"/>
    </xf>
    <xf numFmtId="0" fontId="10" fillId="4" borderId="12" applyAlignment="1" pivotButton="0" quotePrefix="0" xfId="0">
      <alignment horizontal="general" vertical="top" wrapText="1"/>
    </xf>
    <xf numFmtId="0" fontId="9" fillId="4" borderId="12" applyAlignment="1" pivotButton="0" quotePrefix="0" xfId="0">
      <alignment horizontal="center" vertical="center"/>
    </xf>
    <xf numFmtId="4" fontId="0" fillId="0" borderId="12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4" borderId="4" applyAlignment="1" pivotButton="0" quotePrefix="0" xfId="0">
      <alignment horizontal="general" vertical="top" wrapText="1"/>
    </xf>
    <xf numFmtId="0" fontId="9" fillId="4" borderId="4" applyAlignment="1" pivotButton="0" quotePrefix="0" xfId="0">
      <alignment horizontal="center" vertical="center"/>
    </xf>
    <xf numFmtId="4" fontId="0" fillId="0" borderId="4" applyAlignment="1" pivotButton="0" quotePrefix="0" xfId="0">
      <alignment horizontal="general" vertical="bottom"/>
    </xf>
    <xf numFmtId="0" fontId="10" fillId="4" borderId="4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11" fillId="5" borderId="13" applyAlignment="1" pivotButton="0" quotePrefix="0" xfId="0">
      <alignment horizontal="right" vertical="center"/>
    </xf>
    <xf numFmtId="0" fontId="0" fillId="0" borderId="6" applyAlignment="1" pivotButton="0" quotePrefix="0" xfId="0">
      <alignment horizontal="general" vertical="bottom"/>
    </xf>
    <xf numFmtId="0" fontId="0" fillId="0" borderId="14" applyAlignment="1" pivotButton="0" quotePrefix="0" xfId="0">
      <alignment horizontal="general" vertical="bottom"/>
    </xf>
    <xf numFmtId="4" fontId="11" fillId="5" borderId="15" applyAlignment="1" pivotButton="0" quotePrefix="0" xfId="0">
      <alignment horizontal="general" vertical="bottom"/>
    </xf>
    <xf numFmtId="0" fontId="7" fillId="2" borderId="16" applyAlignment="1" pivotButton="0" quotePrefix="0" xfId="0">
      <alignment horizontal="center" vertical="center"/>
    </xf>
    <xf numFmtId="0" fontId="7" fillId="2" borderId="16" applyAlignment="1" pivotButton="0" quotePrefix="0" xfId="0">
      <alignment horizontal="general" vertical="top" wrapText="1"/>
    </xf>
    <xf numFmtId="0" fontId="0" fillId="2" borderId="16" applyAlignment="1" pivotButton="0" quotePrefix="0" xfId="0">
      <alignment horizontal="general" vertical="bottom"/>
    </xf>
    <xf numFmtId="0" fontId="9" fillId="0" borderId="16" applyAlignment="1" pivotButton="0" quotePrefix="0" xfId="0">
      <alignment horizontal="center" vertical="center"/>
    </xf>
    <xf numFmtId="0" fontId="10" fillId="4" borderId="16" applyAlignment="1" pivotButton="0" quotePrefix="0" xfId="0">
      <alignment horizontal="general" vertical="top" wrapText="1"/>
    </xf>
    <xf numFmtId="0" fontId="9" fillId="4" borderId="16" applyAlignment="1" pivotButton="0" quotePrefix="0" xfId="0">
      <alignment horizontal="center" vertical="center"/>
    </xf>
    <xf numFmtId="4" fontId="0" fillId="0" borderId="16" applyAlignment="1" pivotButton="0" quotePrefix="0" xfId="0">
      <alignment horizontal="general" vertical="bottom"/>
    </xf>
    <xf numFmtId="0" fontId="9" fillId="4" borderId="16" applyAlignment="1" pivotButton="0" quotePrefix="0" xfId="0">
      <alignment horizontal="general" vertical="top" wrapText="1"/>
    </xf>
    <xf numFmtId="0" fontId="0" fillId="4" borderId="0" applyAlignment="1" pivotButton="0" quotePrefix="0" xfId="0">
      <alignment horizontal="general" vertical="top" wrapText="1"/>
    </xf>
    <xf numFmtId="0" fontId="0" fillId="4" borderId="0" applyAlignment="1" pivotButton="0" quotePrefix="0" xfId="0">
      <alignment horizontal="general" vertical="bottom"/>
    </xf>
    <xf numFmtId="0" fontId="7" fillId="5" borderId="16" applyAlignment="1" pivotButton="0" quotePrefix="0" xfId="0">
      <alignment horizontal="right" vertical="center"/>
    </xf>
    <xf numFmtId="0" fontId="0" fillId="0" borderId="17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4" fontId="7" fillId="5" borderId="16" applyAlignment="1" pivotButton="0" quotePrefix="0" xfId="0">
      <alignment horizontal="general" vertical="bottom"/>
    </xf>
    <xf numFmtId="0" fontId="8" fillId="6" borderId="16" applyAlignment="1" pivotButton="0" quotePrefix="0" xfId="0">
      <alignment horizontal="right" vertical="center"/>
    </xf>
    <xf numFmtId="4" fontId="8" fillId="6" borderId="16" applyAlignment="1" pivotButton="0" quotePrefix="0" xfId="0">
      <alignment horizontal="general" vertical="bottom"/>
    </xf>
    <xf numFmtId="0" fontId="12" fillId="0" borderId="4" applyAlignment="1" pivotButton="0" quotePrefix="0" xfId="0">
      <alignment horizontal="left" vertical="center"/>
    </xf>
    <xf numFmtId="0" fontId="0" fillId="0" borderId="7" applyAlignment="1" pivotButton="0" quotePrefix="0" xfId="0">
      <alignment horizontal="general" vertical="bottom"/>
    </xf>
    <xf numFmtId="4" fontId="12" fillId="0" borderId="4" applyAlignment="1" pivotButton="0" quotePrefix="0" xfId="0">
      <alignment horizontal="general" vertical="bottom"/>
    </xf>
    <xf numFmtId="0" fontId="13" fillId="0" borderId="4" applyAlignment="1" pivotButton="0" quotePrefix="0" xfId="0">
      <alignment horizontal="left" vertical="center"/>
    </xf>
    <xf numFmtId="4" fontId="13" fillId="0" borderId="4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16" fillId="0" borderId="2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2" borderId="19" applyAlignment="1" pivotButton="0" quotePrefix="0" xfId="0">
      <alignment horizontal="general" vertical="center" wrapText="1"/>
    </xf>
    <xf numFmtId="0" fontId="7" fillId="2" borderId="19" applyAlignment="1" pivotButton="0" quotePrefix="0" xfId="0">
      <alignment horizontal="center" vertical="center" wrapText="1"/>
    </xf>
    <xf numFmtId="0" fontId="7" fillId="2" borderId="20" applyAlignment="1" pivotButton="0" quotePrefix="0" xfId="0">
      <alignment horizontal="center" vertical="center" wrapText="1"/>
    </xf>
    <xf numFmtId="0" fontId="11" fillId="7" borderId="21" applyAlignment="1" pivotButton="0" quotePrefix="0" xfId="0">
      <alignment horizontal="general" vertical="center"/>
    </xf>
    <xf numFmtId="0" fontId="18" fillId="7" borderId="21" applyAlignment="1" pivotButton="0" quotePrefix="0" xfId="0">
      <alignment horizontal="general" vertical="center"/>
    </xf>
    <xf numFmtId="0" fontId="11" fillId="7" borderId="22" applyAlignment="1" pivotButton="0" quotePrefix="0" xfId="0">
      <alignment horizontal="center" vertical="center"/>
    </xf>
    <xf numFmtId="0" fontId="11" fillId="7" borderId="22" applyAlignment="1" pivotButton="0" quotePrefix="0" xfId="0">
      <alignment horizontal="general" vertical="center"/>
    </xf>
    <xf numFmtId="0" fontId="11" fillId="7" borderId="23" applyAlignment="1" pivotButton="0" quotePrefix="0" xfId="0">
      <alignment horizontal="general" vertical="center"/>
    </xf>
    <xf numFmtId="0" fontId="17" fillId="2" borderId="16" applyAlignment="1" pivotButton="0" quotePrefix="0" xfId="0">
      <alignment horizontal="general" vertical="top" wrapText="1"/>
    </xf>
    <xf numFmtId="0" fontId="0" fillId="2" borderId="16" applyAlignment="1" pivotButton="0" quotePrefix="0" xfId="0">
      <alignment horizontal="center" vertical="bottom"/>
    </xf>
    <xf numFmtId="0" fontId="15" fillId="0" borderId="16" applyAlignment="1" pivotButton="0" quotePrefix="0" xfId="0">
      <alignment horizontal="general" vertical="top" wrapText="1"/>
    </xf>
    <xf numFmtId="0" fontId="0" fillId="0" borderId="16" applyAlignment="1" pivotButton="0" quotePrefix="0" xfId="0">
      <alignment horizontal="general" vertical="bottom"/>
    </xf>
    <xf numFmtId="0" fontId="16" fillId="0" borderId="16" applyAlignment="1" pivotButton="0" quotePrefix="0" xfId="0">
      <alignment horizontal="general" vertical="top" wrapText="1"/>
    </xf>
    <xf numFmtId="0" fontId="0" fillId="0" borderId="16" applyAlignment="1" pivotButton="0" quotePrefix="0" xfId="0">
      <alignment horizontal="center" vertical="bottom"/>
    </xf>
    <xf numFmtId="0" fontId="19" fillId="0" borderId="0" applyAlignment="1" pivotButton="0" quotePrefix="0" xfId="0">
      <alignment horizontal="general" vertical="top" wrapText="1"/>
    </xf>
    <xf numFmtId="0" fontId="20" fillId="5" borderId="16" applyAlignment="1" pivotButton="0" quotePrefix="0" xfId="0">
      <alignment horizontal="right" vertical="center"/>
    </xf>
    <xf numFmtId="0" fontId="17" fillId="5" borderId="16" applyAlignment="1" pivotButton="0" quotePrefix="0" xfId="0">
      <alignment horizontal="right" vertical="center"/>
    </xf>
    <xf numFmtId="0" fontId="0" fillId="0" borderId="17" applyAlignment="1" pivotButton="0" quotePrefix="0" xfId="0">
      <alignment horizontal="center" vertical="bottom"/>
    </xf>
    <xf numFmtId="0" fontId="14" fillId="0" borderId="17" applyAlignment="1" pivotButton="0" quotePrefix="0" xfId="0">
      <alignment horizontal="general" vertical="bottom"/>
    </xf>
    <xf numFmtId="0" fontId="8" fillId="7" borderId="16" applyAlignment="1" pivotButton="0" quotePrefix="0" xfId="0">
      <alignment horizontal="right" vertical="center"/>
    </xf>
    <xf numFmtId="0" fontId="18" fillId="7" borderId="16" applyAlignment="1" pivotButton="0" quotePrefix="0" xfId="0">
      <alignment horizontal="right" vertical="center"/>
    </xf>
    <xf numFmtId="4" fontId="8" fillId="7" borderId="16" applyAlignment="1" pivotButton="0" quotePrefix="0" xfId="0">
      <alignment horizontal="general" vertical="bottom"/>
    </xf>
    <xf numFmtId="0" fontId="8" fillId="2" borderId="16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4" fillId="0" borderId="16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17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general" vertical="center" wrapText="1"/>
    </xf>
    <xf numFmtId="0" fontId="0" fillId="3" borderId="5" applyAlignment="1" pivotButton="0" quotePrefix="0" xfId="0">
      <alignment horizontal="general" vertical="bottom"/>
    </xf>
    <xf numFmtId="0" fontId="8" fillId="3" borderId="5" applyAlignment="1" pivotButton="0" quotePrefix="0" xfId="0">
      <alignment horizontal="general" vertical="center"/>
    </xf>
    <xf numFmtId="0" fontId="0" fillId="3" borderId="6" applyAlignment="1" pivotButton="0" quotePrefix="0" xfId="0">
      <alignment horizontal="general" vertical="center"/>
    </xf>
    <xf numFmtId="0" fontId="8" fillId="3" borderId="6" applyAlignment="1" pivotButton="0" quotePrefix="0" xfId="0">
      <alignment horizontal="right" vertical="center"/>
    </xf>
    <xf numFmtId="164" fontId="8" fillId="3" borderId="7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general" vertical="center" wrapText="1"/>
    </xf>
    <xf numFmtId="0" fontId="0" fillId="2" borderId="10" applyAlignment="1" pivotButton="0" quotePrefix="0" xfId="0">
      <alignment horizontal="general" vertical="center"/>
    </xf>
    <xf numFmtId="0" fontId="0" fillId="2" borderId="11" applyAlignment="1" pivotButton="0" quotePrefix="0" xfId="0">
      <alignment horizontal="general" vertical="center"/>
    </xf>
    <xf numFmtId="0" fontId="9" fillId="0" borderId="12" applyAlignment="1" pivotButton="0" quotePrefix="0" xfId="0">
      <alignment horizontal="center" vertical="center"/>
    </xf>
    <xf numFmtId="0" fontId="10" fillId="4" borderId="12" applyAlignment="1" pivotButton="0" quotePrefix="0" xfId="0">
      <alignment horizontal="general" vertical="top" wrapText="1"/>
    </xf>
    <xf numFmtId="0" fontId="9" fillId="4" borderId="12" applyAlignment="1" pivotButton="0" quotePrefix="0" xfId="0">
      <alignment horizontal="center" vertical="center"/>
    </xf>
    <xf numFmtId="4" fontId="0" fillId="0" borderId="12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4" borderId="4" applyAlignment="1" pivotButton="0" quotePrefix="0" xfId="0">
      <alignment horizontal="general" vertical="top" wrapText="1"/>
    </xf>
    <xf numFmtId="0" fontId="9" fillId="4" borderId="4" applyAlignment="1" pivotButton="0" quotePrefix="0" xfId="0">
      <alignment horizontal="center" vertical="center"/>
    </xf>
    <xf numFmtId="4" fontId="0" fillId="0" borderId="4" applyAlignment="1" pivotButton="0" quotePrefix="0" xfId="0">
      <alignment horizontal="general" vertical="bottom"/>
    </xf>
    <xf numFmtId="0" fontId="10" fillId="4" borderId="4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11" fillId="5" borderId="13" applyAlignment="1" pivotButton="0" quotePrefix="0" xfId="0">
      <alignment horizontal="right" vertical="center"/>
    </xf>
    <xf numFmtId="0" fontId="0" fillId="0" borderId="6" applyAlignment="1" pivotButton="0" quotePrefix="0" xfId="0">
      <alignment horizontal="general" vertical="bottom"/>
    </xf>
    <xf numFmtId="0" fontId="0" fillId="0" borderId="14" applyAlignment="1" pivotButton="0" quotePrefix="0" xfId="0">
      <alignment horizontal="general" vertical="bottom"/>
    </xf>
    <xf numFmtId="4" fontId="11" fillId="5" borderId="15" applyAlignment="1" pivotButton="0" quotePrefix="0" xfId="0">
      <alignment horizontal="general" vertical="bottom"/>
    </xf>
    <xf numFmtId="0" fontId="7" fillId="2" borderId="16" applyAlignment="1" pivotButton="0" quotePrefix="0" xfId="0">
      <alignment horizontal="center" vertical="center"/>
    </xf>
    <xf numFmtId="0" fontId="7" fillId="2" borderId="16" applyAlignment="1" pivotButton="0" quotePrefix="0" xfId="0">
      <alignment horizontal="general" vertical="top" wrapText="1"/>
    </xf>
    <xf numFmtId="0" fontId="0" fillId="2" borderId="16" applyAlignment="1" pivotButton="0" quotePrefix="0" xfId="0">
      <alignment horizontal="general" vertical="bottom"/>
    </xf>
    <xf numFmtId="0" fontId="9" fillId="0" borderId="16" applyAlignment="1" pivotButton="0" quotePrefix="0" xfId="0">
      <alignment horizontal="center" vertical="center"/>
    </xf>
    <xf numFmtId="0" fontId="10" fillId="4" borderId="16" applyAlignment="1" pivotButton="0" quotePrefix="0" xfId="0">
      <alignment horizontal="general" vertical="top" wrapText="1"/>
    </xf>
    <xf numFmtId="0" fontId="9" fillId="4" borderId="16" applyAlignment="1" pivotButton="0" quotePrefix="0" xfId="0">
      <alignment horizontal="center" vertical="center"/>
    </xf>
    <xf numFmtId="4" fontId="0" fillId="0" borderId="16" applyAlignment="1" pivotButton="0" quotePrefix="0" xfId="0">
      <alignment horizontal="general" vertical="bottom"/>
    </xf>
    <xf numFmtId="0" fontId="9" fillId="4" borderId="16" applyAlignment="1" pivotButton="0" quotePrefix="0" xfId="0">
      <alignment horizontal="general" vertical="top" wrapText="1"/>
    </xf>
    <xf numFmtId="0" fontId="0" fillId="4" borderId="0" applyAlignment="1" pivotButton="0" quotePrefix="0" xfId="0">
      <alignment horizontal="general" vertical="top" wrapText="1"/>
    </xf>
    <xf numFmtId="0" fontId="0" fillId="4" borderId="0" applyAlignment="1" pivotButton="0" quotePrefix="0" xfId="0">
      <alignment horizontal="general" vertical="bottom"/>
    </xf>
    <xf numFmtId="0" fontId="7" fillId="5" borderId="16" applyAlignment="1" pivotButton="0" quotePrefix="0" xfId="0">
      <alignment horizontal="right" vertical="center"/>
    </xf>
    <xf numFmtId="0" fontId="0" fillId="0" borderId="17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4" fontId="7" fillId="5" borderId="16" applyAlignment="1" pivotButton="0" quotePrefix="0" xfId="0">
      <alignment horizontal="general" vertical="bottom"/>
    </xf>
    <xf numFmtId="0" fontId="8" fillId="6" borderId="16" applyAlignment="1" pivotButton="0" quotePrefix="0" xfId="0">
      <alignment horizontal="right" vertical="center"/>
    </xf>
    <xf numFmtId="4" fontId="8" fillId="6" borderId="16" applyAlignment="1" pivotButton="0" quotePrefix="0" xfId="0">
      <alignment horizontal="general" vertical="bottom"/>
    </xf>
    <xf numFmtId="0" fontId="12" fillId="0" borderId="4" applyAlignment="1" pivotButton="0" quotePrefix="0" xfId="0">
      <alignment horizontal="left" vertical="center"/>
    </xf>
    <xf numFmtId="0" fontId="0" fillId="0" borderId="7" applyAlignment="1" pivotButton="0" quotePrefix="0" xfId="0">
      <alignment horizontal="general" vertical="bottom"/>
    </xf>
    <xf numFmtId="4" fontId="12" fillId="0" borderId="4" applyAlignment="1" pivotButton="0" quotePrefix="0" xfId="0">
      <alignment horizontal="general" vertical="bottom"/>
    </xf>
    <xf numFmtId="0" fontId="13" fillId="0" borderId="4" applyAlignment="1" pivotButton="0" quotePrefix="0" xfId="0">
      <alignment horizontal="left" vertical="center"/>
    </xf>
    <xf numFmtId="4" fontId="13" fillId="0" borderId="4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16" fillId="0" borderId="2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2" borderId="19" applyAlignment="1" pivotButton="0" quotePrefix="0" xfId="0">
      <alignment horizontal="general" vertical="center" wrapText="1"/>
    </xf>
    <xf numFmtId="0" fontId="7" fillId="2" borderId="19" applyAlignment="1" pivotButton="0" quotePrefix="0" xfId="0">
      <alignment horizontal="center" vertical="center" wrapText="1"/>
    </xf>
    <xf numFmtId="0" fontId="7" fillId="2" borderId="20" applyAlignment="1" pivotButton="0" quotePrefix="0" xfId="0">
      <alignment horizontal="center" vertical="center" wrapText="1"/>
    </xf>
    <xf numFmtId="0" fontId="11" fillId="7" borderId="21" applyAlignment="1" pivotButton="0" quotePrefix="0" xfId="0">
      <alignment horizontal="general" vertical="center"/>
    </xf>
    <xf numFmtId="0" fontId="18" fillId="7" borderId="21" applyAlignment="1" pivotButton="0" quotePrefix="0" xfId="0">
      <alignment horizontal="general" vertical="center"/>
    </xf>
    <xf numFmtId="0" fontId="11" fillId="7" borderId="22" applyAlignment="1" pivotButton="0" quotePrefix="0" xfId="0">
      <alignment horizontal="center" vertical="center"/>
    </xf>
    <xf numFmtId="0" fontId="11" fillId="7" borderId="22" applyAlignment="1" pivotButton="0" quotePrefix="0" xfId="0">
      <alignment horizontal="general" vertical="center"/>
    </xf>
    <xf numFmtId="0" fontId="11" fillId="7" borderId="23" applyAlignment="1" pivotButton="0" quotePrefix="0" xfId="0">
      <alignment horizontal="general" vertical="center"/>
    </xf>
    <xf numFmtId="0" fontId="17" fillId="2" borderId="16" applyAlignment="1" pivotButton="0" quotePrefix="0" xfId="0">
      <alignment horizontal="general" vertical="top" wrapText="1"/>
    </xf>
    <xf numFmtId="0" fontId="0" fillId="2" borderId="16" applyAlignment="1" pivotButton="0" quotePrefix="0" xfId="0">
      <alignment horizontal="center" vertical="bottom"/>
    </xf>
    <xf numFmtId="0" fontId="15" fillId="0" borderId="16" applyAlignment="1" pivotButton="0" quotePrefix="0" xfId="0">
      <alignment horizontal="general" vertical="top" wrapText="1"/>
    </xf>
    <xf numFmtId="0" fontId="0" fillId="0" borderId="16" applyAlignment="1" pivotButton="0" quotePrefix="0" xfId="0">
      <alignment horizontal="general" vertical="bottom"/>
    </xf>
    <xf numFmtId="0" fontId="16" fillId="0" borderId="16" applyAlignment="1" pivotButton="0" quotePrefix="0" xfId="0">
      <alignment horizontal="general" vertical="top" wrapText="1"/>
    </xf>
    <xf numFmtId="0" fontId="0" fillId="0" borderId="16" applyAlignment="1" pivotButton="0" quotePrefix="0" xfId="0">
      <alignment horizontal="center" vertical="bottom"/>
    </xf>
    <xf numFmtId="0" fontId="19" fillId="0" borderId="0" applyAlignment="1" pivotButton="0" quotePrefix="0" xfId="0">
      <alignment horizontal="general" vertical="top" wrapText="1"/>
    </xf>
    <xf numFmtId="0" fontId="20" fillId="5" borderId="16" applyAlignment="1" pivotButton="0" quotePrefix="0" xfId="0">
      <alignment horizontal="right" vertical="center"/>
    </xf>
    <xf numFmtId="0" fontId="17" fillId="5" borderId="16" applyAlignment="1" pivotButton="0" quotePrefix="0" xfId="0">
      <alignment horizontal="right" vertical="center"/>
    </xf>
    <xf numFmtId="0" fontId="0" fillId="0" borderId="17" applyAlignment="1" pivotButton="0" quotePrefix="0" xfId="0">
      <alignment horizontal="center" vertical="bottom"/>
    </xf>
    <xf numFmtId="0" fontId="14" fillId="0" borderId="17" applyAlignment="1" pivotButton="0" quotePrefix="0" xfId="0">
      <alignment horizontal="general" vertical="bottom"/>
    </xf>
    <xf numFmtId="0" fontId="8" fillId="7" borderId="16" applyAlignment="1" pivotButton="0" quotePrefix="0" xfId="0">
      <alignment horizontal="right" vertical="center"/>
    </xf>
    <xf numFmtId="0" fontId="18" fillId="7" borderId="16" applyAlignment="1" pivotButton="0" quotePrefix="0" xfId="0">
      <alignment horizontal="right" vertical="center"/>
    </xf>
    <xf numFmtId="4" fontId="8" fillId="7" borderId="16" applyAlignment="1" pivotButton="0" quotePrefix="0" xfId="0">
      <alignment horizontal="general" vertical="bottom"/>
    </xf>
    <xf numFmtId="0" fontId="8" fillId="2" borderId="16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4" fillId="0" borderId="16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17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EDC"/>
      <rgbColor rgb="FFFFFF99"/>
      <rgbColor rgb="FF99CCFF"/>
      <rgbColor rgb="FFFF99CC"/>
      <rgbColor rgb="FFCC99FF"/>
      <rgbColor rgb="FFF8DED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F28"/>
  <sheetViews>
    <sheetView tabSelected="1" zoomScale="150" zoomScaleNormal="150" workbookViewId="0">
      <selection activeCell="A1" sqref="A1"/>
    </sheetView>
  </sheetViews>
  <sheetFormatPr baseColWidth="8" defaultColWidth="8.6796875" defaultRowHeight="15" customHeight="0" zeroHeight="0" outlineLevelRow="0"/>
  <cols>
    <col width="5.71" customWidth="1" style="91" min="1" max="1"/>
    <col width="72.14" customWidth="1" style="91" min="2" max="2"/>
    <col width="6.43" customWidth="1" style="91" min="3" max="3"/>
    <col width="7.42" customWidth="1" style="91" min="4" max="4"/>
    <col width="12.42" customWidth="1" style="91" min="5" max="5"/>
    <col width="14.29" customWidth="1" style="91" min="6" max="6"/>
  </cols>
  <sheetData>
    <row r="1" ht="15" customHeight="1" s="92">
      <c r="A1" s="93" t="inlineStr">
        <is>
          <t>PRILOG II TD</t>
        </is>
      </c>
    </row>
    <row r="2" ht="15" customHeight="1" s="92">
      <c r="A2" s="94" t="inlineStr">
        <is>
          <t>OBRAZAC ZA CIJENU PONUDE - LOT 1 — BS SJEDNICA (BILEĆA)</t>
        </is>
      </c>
    </row>
    <row r="3" ht="30" customHeight="1" s="92">
      <c r="A3" s="181" t="inlineStr">
        <is>
          <t>INFRASTRUKTURA I INSTALACIJA OPREME ZA AUTONOMNI HIBRIDNI SISTEM NAPAJANJA
BS SJEDNICA I BS HAMZIĆI (LOT 1 i 2)</t>
        </is>
      </c>
    </row>
    <row r="4"/>
    <row r="5" ht="15" customHeight="1" s="92">
      <c r="B5" s="95" t="inlineStr">
        <is>
          <t>Naziv Ponuđača:       __________________________________</t>
        </is>
      </c>
    </row>
    <row r="6" ht="15" customHeight="1" s="92">
      <c r="B6" s="95" t="inlineStr">
        <is>
          <t>Ponuda br.:                __________________________________</t>
        </is>
      </c>
    </row>
    <row r="7"/>
    <row r="8" s="92">
      <c r="A8" s="96" t="inlineStr">
        <is>
          <t>1</t>
        </is>
      </c>
      <c r="B8" s="97" t="inlineStr">
        <is>
          <t>2</t>
        </is>
      </c>
      <c r="C8" s="98" t="inlineStr">
        <is>
          <t>3</t>
        </is>
      </c>
      <c r="D8" s="98" t="inlineStr">
        <is>
          <t>4</t>
        </is>
      </c>
      <c r="E8" s="98" t="inlineStr">
        <is>
          <t>5</t>
        </is>
      </c>
      <c r="F8" s="99" t="inlineStr">
        <is>
          <t>6</t>
        </is>
      </c>
    </row>
    <row r="9" s="92">
      <c r="A9" s="100" t="inlineStr">
        <is>
          <t>r.br.</t>
        </is>
      </c>
      <c r="B9" s="101" t="inlineStr">
        <is>
          <t>Opis stavke</t>
        </is>
      </c>
      <c r="C9" s="100" t="inlineStr">
        <is>
          <t>Jed. mjere</t>
        </is>
      </c>
      <c r="D9" s="100" t="inlineStr">
        <is>
          <t>Količina</t>
        </is>
      </c>
      <c r="E9" s="100" t="inlineStr">
        <is>
          <t>Jed. cijena u KM bez PDV-a</t>
        </is>
      </c>
      <c r="F9" s="100" t="inlineStr">
        <is>
          <t>Ukupna cijena u KM bez PDV-a  6=(4x5)</t>
        </is>
      </c>
    </row>
    <row r="10" ht="15" customHeight="1" s="92">
      <c r="A10" s="102" t="n"/>
      <c r="B10" s="103" t="inlineStr">
        <is>
          <t>LOT 1 — KONSTRUKCIJA NOSAČA ZA FOTONAPONSKE PANELE</t>
        </is>
      </c>
      <c r="C10" s="104" t="n"/>
      <c r="D10" s="104" t="n"/>
      <c r="E10" s="105" t="n"/>
      <c r="F10" s="106" t="n"/>
    </row>
    <row r="11" s="92">
      <c r="A11" s="107" t="inlineStr">
        <is>
          <t>1</t>
        </is>
      </c>
      <c r="B11" s="108" t="inlineStr">
        <is>
          <t>NOSAČI ZA FOTONAPONSKE PANELE</t>
        </is>
      </c>
      <c r="C11" s="109" t="n"/>
      <c r="D11" s="109" t="n"/>
      <c r="E11" s="109" t="n"/>
      <c r="F11" s="110" t="n"/>
    </row>
    <row r="12" s="92">
      <c r="A12" s="111" t="inlineStr">
        <is>
          <t>1.1</t>
        </is>
      </c>
      <c r="B12" s="112" t="inlineStr">
        <is>
          <t>Isporuka i montaža nosive metalne konstrukcije (ground mount support) za prihvat fotonaponskih panela:
 - 4 odvojena nosača u jednom nizu, svaki za 3 fotonaponska modula (3 reda × 1 kolona, položeno); razmak između nosača 400 mm, dužina niza 10 312 mm
 - nagib fiksno 45°, orijentacija JUGOZAPAD (azimut 225°), niz paralelan sa jugozapadnom ogradom
 - gabariti po nosaču: širina polja 2278 mm (poprečna greda 2891 mm, bočni prepust 306,5 mm), dužina polja po nagibu 3442 mm, horizontalna projekcija 2434 mm pri nagibu 45°; donja ivica panela na +0,50 m, gornja ivica na +2,93 m od nivoa terena
 - smještaj: nosači se temelje IZVAN ograđenog platoa, jugozapadno od ograde (JZ strana), cca 0,40 m od ograde; odmak od ograde Ponuđač utvrđuje pri poziciranju nosača tako da ravan panela nigdje ne dodiruje ogradu; gornja (sjeveroistočna) ivica panela je 0,83 m iznad kote ograde h=2,10 m. Ponuđač provjerava da konstrukcija u cijelosti ostaje unutar zakupljene parcele 16,00 × 9,40 m
 - materijal, antikorozivna zaštita, zavarivanje i spojni pribor prema Prilogu I, Tačka 3.3
 - uključeno ožičenje i povezivanje panela do PVDB distribucije preko po-string DC odvodnika prenapona (v. crtež E-01): 12 modula se povezuje u DVA STRINGA po 6 modula (string 1 — nosači PV-1 i PV-2; string 2 — nosači PV-3 i PV-4), po jedan string na svaku od dvije rute PVDB ormara
 - UZ PONUDU: Ponuđač je obavezan da uz ponudu dostavi tehničko rješenje konstrukcije za prihvat fotonaponskih panela za predmetnu lokaciju, sa obaveznim statičkim proračunom (Tačka 1.3) i specifikacijom materijala. Tehničko rješenje mora biti pregledano i odobreno prije početka izvođenja radova</t>
        </is>
      </c>
      <c r="C12" s="113" t="inlineStr">
        <is>
          <t>kpl</t>
        </is>
      </c>
      <c r="D12" s="113" t="n">
        <v>4</v>
      </c>
      <c r="E12" s="114" t="n"/>
      <c r="F12" s="114">
        <f>IF(AND(D12&lt;&gt;"",E12&lt;&gt;""),D12*E12,"")</f>
        <v/>
      </c>
    </row>
    <row r="13" s="92">
      <c r="A13" s="111" t="inlineStr">
        <is>
          <t>1.2</t>
        </is>
      </c>
      <c r="B13" s="112" t="inlineStr">
        <is>
          <t>Isporuka i ugradnja sistema sidrenja nosive konstrukcije iz Tačke 1.1 u stijenu/beton, hemijskim (epoksidnim) ankerima.
 - tip: hemijski (epoksidni/vinilesterski) anker M16 ili M20 sa ETA odobrenjem za ugradnju u beton i/ili stijenu, vruće cinčan ili nehrđajući A4
 - broj: najmanje 2 ankera po temeljnoj traci, odnosno 4 ankera po nosaču
 - nosivost i dubina ugradnje: prema ETA za konkretnu podlogu i prema statičkom proračunu iz Tačke 1.3; projektne sile ankerisanja proizlaze iz koncepta konstrukcije koji Ponuđač nudi i iskazuju se u tehničkom rješenju
 - dokazivanje: ispitivanje čupanjem (pull-out test) na najmanje 2 ankera po lokaciji, do 1,5 × projektne sile iz odobrenog tehničkog rješenja, uz zapisnik ovjeren od nadzornog organa</t>
        </is>
      </c>
      <c r="C13" s="113" t="inlineStr">
        <is>
          <t>kpl</t>
        </is>
      </c>
      <c r="D13" s="113" t="n">
        <v>4</v>
      </c>
      <c r="E13" s="114" t="n"/>
      <c r="F13" s="114">
        <f>IF(AND(D13&lt;&gt;"",E13&lt;&gt;""),D13*E13,"")</f>
        <v/>
      </c>
    </row>
    <row r="14" s="92">
      <c r="A14" s="115" t="inlineStr">
        <is>
          <t>1.3</t>
        </is>
      </c>
      <c r="B14" s="116" t="inlineStr">
        <is>
          <t>Statički proračun nosive konstrukcije i temelja, ovjeren i potpisan od strane ovlaštenog inženjera.
 - dokaz na dejstvo vjetra prema BAS EN 1991-1-4 sa BiH nacionalnim aneksom, uključujući faktor orografije za lokalitet
 - dokaz na opterećenje snijegom prema BAS EN 1991-1-3 i na radijalni led prema ovjerenoj projektnoj dokumentaciji lokacije
 - dokaz sigurnosti na podizanje (uplift) i prevrtanje prema BAS EN 1990
 - dimenzionisanje čelične konstrukcije prema BAS EN 1993-1-1, izvedba prema BAS EN 1090-2
 - dimenzionisanje temelja i sidrenja prema stvarnim geotehničkim uslovima (kamenito tlo), uz navođenje dubine smrzavanja za lokalitet
NAPOMENA: Statički proračun se dostavlja u sklopu tehničkog rješenja i uslov je za počinjanje radova. Prije početka izvođenja radova tehničko rješenje mora biti pregledano i odobreno.</t>
        </is>
      </c>
      <c r="C14" s="117" t="inlineStr">
        <is>
          <t>kpl</t>
        </is>
      </c>
      <c r="D14" s="117" t="n">
        <v>1</v>
      </c>
      <c r="E14" s="118" t="n"/>
      <c r="F14" s="118">
        <f>IF(AND(D14&lt;&gt;"",E14&lt;&gt;""),D14*E14,"")</f>
        <v/>
      </c>
    </row>
    <row r="15" s="92">
      <c r="A15" s="115" t="inlineStr">
        <is>
          <t>1.4</t>
        </is>
      </c>
      <c r="B15" s="116" t="inlineStr">
        <is>
          <t>Uzemljenje nosivih konstrukcija: povezivanje sva četiri nosača na postojeći prstenasti uzemljivač lokacije bakarnim užetom presjeka 50 mm² sa izolacijom otpornom na UV zračenje i ukopavanje, preko priključnih stezaljki na konstrukciji i bimetalnih (Cu/Fe-Zn) ukrsnih komada radi sprječavanja galvanske korozije. Presjek prema EN 62305-3, Tabela 7, za odvođenje atmosferskog pražnjenja. Kontinuitet svih spojeva ≤0,1 Ω, ukupni otpor uzemljenja ≤10 Ω. DC kablovi se polažu na razmaku ≥0,5 m od odvoda gromobranske instalacije (Huawei §4.1.3).</t>
        </is>
      </c>
      <c r="C15" s="117" t="inlineStr">
        <is>
          <t>kpl</t>
        </is>
      </c>
      <c r="D15" s="117" t="n">
        <v>4</v>
      </c>
      <c r="E15" s="118" t="n"/>
      <c r="F15" s="118">
        <f>IF(AND(D15&lt;&gt;"",E15&lt;&gt;""),D15*E15,"")</f>
        <v/>
      </c>
    </row>
    <row r="16" s="92">
      <c r="A16" s="115" t="inlineStr">
        <is>
          <t>1.5</t>
        </is>
      </c>
      <c r="B16" s="119" t="inlineStr">
        <is>
          <t>Dokumentacija izvedenog stanja za LOT 1: kataloška dokumentacija nosača sa tehničkim crtežima, statički proračun, atesti materijala i vrućeg cinčanja, garantni list.</t>
        </is>
      </c>
      <c r="C16" s="117" t="inlineStr">
        <is>
          <t>kpl</t>
        </is>
      </c>
      <c r="D16" s="117" t="n">
        <v>1</v>
      </c>
      <c r="E16" s="118" t="n"/>
      <c r="F16" s="118">
        <f>IF(AND(D16&lt;&gt;"",E16&lt;&gt;""),D16*E16,"")</f>
        <v/>
      </c>
    </row>
    <row r="17" ht="24" customHeight="1" s="92">
      <c r="A17" s="115" t="n"/>
      <c r="B17" s="120" t="n"/>
      <c r="F17" s="118" t="n"/>
    </row>
    <row r="18" ht="24" customHeight="1" s="92">
      <c r="A18" s="121" t="n"/>
      <c r="B18" s="121" t="inlineStr">
        <is>
          <t>UKUPNO 1 — NOSAČI ZA FOTONAPONSKE PANELE:</t>
        </is>
      </c>
      <c r="C18" s="122" t="n"/>
      <c r="D18" s="122" t="n"/>
      <c r="E18" s="123" t="n"/>
      <c r="F18" s="124">
        <f>SUM(F12:F17)</f>
        <v/>
      </c>
    </row>
    <row r="19" s="92">
      <c r="A19" s="125" t="inlineStr">
        <is>
          <t>2</t>
        </is>
      </c>
      <c r="B19" s="126" t="inlineStr">
        <is>
          <t>GRAĐEVINSKI RADOVI</t>
        </is>
      </c>
      <c r="C19" s="127" t="n"/>
      <c r="D19" s="127" t="n"/>
      <c r="E19" s="127" t="n"/>
      <c r="F19" s="127" t="n"/>
    </row>
    <row r="20" s="92">
      <c r="A20" s="128" t="inlineStr">
        <is>
          <t>2.1</t>
        </is>
      </c>
      <c r="B20" s="129" t="inlineStr">
        <is>
          <t>Iskop zemlje/stijene IV-V kategorije za temeljne trake nosača, do donje ivice podložnog betona. Rov širine 500 mm, dubine 950 mm, dužine 2600 mm. 4 nosača × 2 trake × 1,235 m3. Rov se u stijeni siječe jednom širinom po cijeloj dubini; traka se betonira do zida rova, pa zatrpavanja nema.</t>
        </is>
      </c>
      <c r="C20" s="130" t="inlineStr">
        <is>
          <t>m3</t>
        </is>
      </c>
      <c r="D20" s="130" t="n">
        <v>9.880000000000001</v>
      </c>
      <c r="E20" s="131" t="n"/>
      <c r="F20" s="131">
        <f>IF(AND(D20&lt;&gt;"",E20&lt;&gt;""),D20*E20,"")</f>
        <v/>
      </c>
    </row>
    <row r="21" s="92">
      <c r="A21" s="128" t="inlineStr">
        <is>
          <t>2.2</t>
        </is>
      </c>
      <c r="B21" s="129" t="inlineStr">
        <is>
          <t>Odvoz i zbrinjavanje viška materijala od iskopa do deponije udaljene do 20 km. Traka i podložni beton ispunjavaju rov u cijelosti, pa se odvozi sav iskopani materijal. 4 nosača × 2 trake × 1,235 m3</t>
        </is>
      </c>
      <c r="C21" s="130" t="inlineStr">
        <is>
          <t>m3</t>
        </is>
      </c>
      <c r="D21" s="130" t="n">
        <v>9.880000000000001</v>
      </c>
      <c r="E21" s="131" t="n"/>
      <c r="F21" s="131">
        <f>IF(AND(D21&lt;&gt;"",E21&lt;&gt;""),D21*E21,"")</f>
        <v/>
      </c>
    </row>
    <row r="22" s="92">
      <c r="A22" s="128" t="inlineStr">
        <is>
          <t>2.3</t>
        </is>
      </c>
      <c r="B22" s="129" t="inlineStr">
        <is>
          <t>Nabavka materijala, transport i ugradnja podložnog betona C12/15 ispod temeljnih traka, prema zahtjevima proizvođača. 4 nosača × 2 trake × 0,065 m3</t>
        </is>
      </c>
      <c r="C22" s="130" t="inlineStr">
        <is>
          <t>m3</t>
        </is>
      </c>
      <c r="D22" s="130" t="n">
        <v>0.52</v>
      </c>
      <c r="E22" s="131" t="n"/>
      <c r="F22" s="131">
        <f>IF(AND(D22&lt;&gt;"",E22&lt;&gt;""),D22*E22,"")</f>
        <v/>
      </c>
    </row>
    <row r="23" s="92">
      <c r="A23" s="128" t="inlineStr">
        <is>
          <t>2.4</t>
        </is>
      </c>
      <c r="B23" s="129" t="inlineStr">
        <is>
          <t>Nabavka materijala, transport i betoniranje DVIJE temeljne trake po nosaču, betonom C30/37 klase izloženosti XC4 + XF3 prema BAS EN 206 (aerant 4–6 %, Dmax 16, konzistencija S3), uz upotrebu oplate i njegovanje betona. Armatura B500B, zaštitni sloj ≥50 mm, prema ovjerenom statičkom proračunu iz Tačke 1.3. Obračun po m³ ugrađenog betona. Traka 500 × 2600 mm, jedinstvene širine po cijeloj dubini (bez proširenja u dnu), PUNE dubine 900 mm = 1,170 m³ po traci. 4 nosača × 2 trake × 1,170 m³
BETON I ARMATURA: beton klase C30/37, klase izloženosti XC4 + XF3 prema BAS EN 206, sa aerantom 4–6 %, Dmax 16, konzistencija S3; podložni beton C12/15 d=50 mm; armatura B500B, zaštitni sloj ≥50 mm. Klasa XF3 je mjerodavna zbog cikličnog smrzavanja i odmrzavanja u vlažnom stanju na 1076 m n.v. Temeljna spojnica mora biti ispod dubine smrzavanja za lokalitet, koju Ponuđač navodi u ponudi. Dubina 900 mm je tenderska osnova i mjerodavna je za ponudu; konačnu dubinu i armaturu potvrđuje ovjereni statički proračun iz Tačke 1.3. Traka se betonira punom dubinom rova i do zida rova — vlastita težina trake je dio dokaza sigurnosti na podizanje i prevrtanje. Temelj širi u dnu nego u vrhu tražio bi potkopavanje i u stijeni nije izvodiv, pa je presjek jedinstven.</t>
        </is>
      </c>
      <c r="C23" s="130" t="inlineStr">
        <is>
          <t>m3</t>
        </is>
      </c>
      <c r="D23" s="130" t="n">
        <v>9.359999999999999</v>
      </c>
      <c r="E23" s="131" t="n"/>
      <c r="F23" s="131">
        <f>IF(AND(D23&lt;&gt;"",E23&lt;&gt;""),D23*E23,"")</f>
        <v/>
      </c>
    </row>
    <row r="24" s="92">
      <c r="A24" s="128" t="inlineStr">
        <is>
          <t>2.5</t>
        </is>
      </c>
      <c r="B24" s="129" t="inlineStr">
        <is>
          <t>Obrada vidljivih strana i gornje površine temeljnih traka cementnim malterom u nagibu 1,0 %, zaglađeno do crnog sjaja. 0,50 × 2,60 × 8 traka = 10,4 m².</t>
        </is>
      </c>
      <c r="C24" s="130" t="inlineStr">
        <is>
          <t>m2</t>
        </is>
      </c>
      <c r="D24" s="130" t="n">
        <v>10.4</v>
      </c>
      <c r="E24" s="131" t="n"/>
      <c r="F24" s="131">
        <f>IF(AND(D24&lt;&gt;"",E24&lt;&gt;""),D24*E24,"")</f>
        <v/>
      </c>
    </row>
    <row r="25" s="92">
      <c r="A25" s="128" t="inlineStr">
        <is>
          <t>2.6</t>
        </is>
      </c>
      <c r="B25" s="132" t="inlineStr">
        <is>
          <t>Ostali sitni građevinski i potrošni materijal.</t>
        </is>
      </c>
      <c r="C25" s="130" t="inlineStr">
        <is>
          <t>paušal</t>
        </is>
      </c>
      <c r="D25" s="130" t="n">
        <v>1</v>
      </c>
      <c r="E25" s="131" t="n"/>
      <c r="F25" s="131">
        <f>IF(AND(D25&lt;&gt;"",E25&lt;&gt;""),D25*E25,"")</f>
        <v/>
      </c>
    </row>
    <row r="26" ht="15" customHeight="1" s="92">
      <c r="A26" s="135" t="n"/>
      <c r="B26" s="135" t="inlineStr">
        <is>
          <t>UKUPNO 2 — GRAĐEVINSKI RADOVI ZA NOSAČE FN PANELA:</t>
        </is>
      </c>
      <c r="C26" s="136" t="n"/>
      <c r="D26" s="136" t="n"/>
      <c r="E26" s="137" t="n"/>
      <c r="F26" s="138">
        <f>SUM(F20:F25)</f>
        <v/>
      </c>
    </row>
    <row r="27" ht="24" customHeight="1" s="92"/>
    <row r="28" ht="15" customHeight="1" s="92">
      <c r="A28" s="139" t="n"/>
      <c r="B28" s="139" t="inlineStr">
        <is>
          <t>UKUPNO LOT 1 — BS SJEDNICA (bez PDV-a):</t>
        </is>
      </c>
      <c r="C28" s="136" t="n"/>
      <c r="D28" s="137" t="n"/>
      <c r="E28" s="137" t="n"/>
      <c r="F28" s="140">
        <f>F18+F26</f>
        <v/>
      </c>
    </row>
  </sheetData>
  <mergeCells count="2">
    <mergeCell ref="A2:F2"/>
    <mergeCell ref="A3:F3"/>
  </mergeCells>
  <printOptions horizontalCentered="1" verticalCentered="0" headings="0" gridLines="0" gridLinesSet="1"/>
  <pageMargins left="0.75" right="0.75" top="1" bottom="1" header="0.5" footer="0.511811023622047"/>
  <pageSetup orientation="landscape" paperSize="1" scale="100" fitToHeight="0" fitToWidth="1" pageOrder="downThenOver" blackAndWhite="0" draft="0" horizontalDpi="300" verticalDpi="300" copies="1"/>
  <headerFooter differentOddEven="0" differentFirst="0">
    <oddHeader>&amp;R&amp;"Times New Roman,Regular"&amp;12 &amp;"Arial,Regular"&amp;10 [BH Telecom | &amp;"Arial,Bold"Interno&amp;"Arial,Regular"]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F29"/>
  <sheetViews>
    <sheetView tabSelected="0" zoomScale="150" zoomScaleNormal="150" workbookViewId="0">
      <selection activeCell="A1" sqref="A1"/>
    </sheetView>
  </sheetViews>
  <sheetFormatPr baseColWidth="8" defaultColWidth="8.6796875" defaultRowHeight="15" customHeight="0" zeroHeight="0" outlineLevelRow="0"/>
  <cols>
    <col width="5.71" customWidth="1" style="91" min="1" max="1"/>
    <col width="72.14" customWidth="1" style="91" min="2" max="2"/>
    <col width="6.43" customWidth="1" style="91" min="3" max="3"/>
    <col width="7.42" customWidth="1" style="91" min="4" max="4"/>
    <col width="12.42" customWidth="1" style="91" min="5" max="5"/>
    <col width="14.29" customWidth="1" style="91" min="6" max="6"/>
  </cols>
  <sheetData>
    <row r="1" ht="15" customHeight="1" s="92">
      <c r="A1" s="93" t="inlineStr">
        <is>
          <t>PRILOG II TD</t>
        </is>
      </c>
    </row>
    <row r="2" ht="15" customHeight="1" s="92">
      <c r="A2" s="94" t="inlineStr">
        <is>
          <t>OBRAZAC ZA CIJENU PONUDE - LOT 1 — BS HAMZIĆI (ČITLUK)</t>
        </is>
      </c>
    </row>
    <row r="3" ht="30" customHeight="1" s="92">
      <c r="A3" s="181" t="inlineStr">
        <is>
          <t>INFRASTRUKTURA I INSTALACIJA OPREME ZA AUTONOMNI HIBRIDNI SISTEM NAPAJANJA
BS SJEDNICA I BS HAMZIĆI (LOT 1 i 2)</t>
        </is>
      </c>
    </row>
    <row r="4"/>
    <row r="5" ht="15" customHeight="1" s="92">
      <c r="B5" s="95" t="inlineStr">
        <is>
          <t>Naziv Ponuđača:       __________________________________</t>
        </is>
      </c>
    </row>
    <row r="6" ht="15" customHeight="1" s="92">
      <c r="B6" s="95" t="inlineStr">
        <is>
          <t>Ponuda br.:                __________________________________</t>
        </is>
      </c>
    </row>
    <row r="7"/>
    <row r="8" s="92">
      <c r="A8" s="96" t="inlineStr">
        <is>
          <t>1</t>
        </is>
      </c>
      <c r="B8" s="97" t="inlineStr">
        <is>
          <t>2</t>
        </is>
      </c>
      <c r="C8" s="98" t="inlineStr">
        <is>
          <t>3</t>
        </is>
      </c>
      <c r="D8" s="98" t="inlineStr">
        <is>
          <t>4</t>
        </is>
      </c>
      <c r="E8" s="98" t="inlineStr">
        <is>
          <t>5</t>
        </is>
      </c>
      <c r="F8" s="99" t="inlineStr">
        <is>
          <t>6</t>
        </is>
      </c>
    </row>
    <row r="9" s="92">
      <c r="A9" s="100" t="inlineStr">
        <is>
          <t>r.br.</t>
        </is>
      </c>
      <c r="B9" s="101" t="inlineStr">
        <is>
          <t>Opis stavke</t>
        </is>
      </c>
      <c r="C9" s="100" t="inlineStr">
        <is>
          <t>Jed. mjere</t>
        </is>
      </c>
      <c r="D9" s="100" t="inlineStr">
        <is>
          <t>Količina</t>
        </is>
      </c>
      <c r="E9" s="100" t="inlineStr">
        <is>
          <t>Jed. cijena u KM bez PDV-a</t>
        </is>
      </c>
      <c r="F9" s="100" t="inlineStr">
        <is>
          <t>Ukupna cijena u KM bez PDV-a  6=(4x5)</t>
        </is>
      </c>
    </row>
    <row r="10" ht="15" customHeight="1" s="92">
      <c r="A10" s="102" t="n"/>
      <c r="B10" s="103" t="inlineStr">
        <is>
          <t>LOT 1 — KONSTRUKCIJA NOSAČA ZA FOTONAPONSKE PANELE</t>
        </is>
      </c>
      <c r="C10" s="104" t="n"/>
      <c r="D10" s="104" t="n"/>
      <c r="E10" s="105" t="n"/>
      <c r="F10" s="106" t="n"/>
    </row>
    <row r="11" s="92">
      <c r="A11" s="107" t="inlineStr">
        <is>
          <t>1</t>
        </is>
      </c>
      <c r="B11" s="108" t="inlineStr">
        <is>
          <t>NOSAČI ZA FOTONAPONSKE PANELE</t>
        </is>
      </c>
      <c r="C11" s="109" t="n"/>
      <c r="D11" s="109" t="n"/>
      <c r="E11" s="109" t="n"/>
      <c r="F11" s="110" t="n"/>
    </row>
    <row r="12" s="92">
      <c r="A12" s="111" t="inlineStr">
        <is>
          <t>1.1</t>
        </is>
      </c>
      <c r="B12" s="112" t="inlineStr">
        <is>
          <t>Isporuka i montaža nosive metalne konstrukcije (ground mount support) za prihvat fotonaponskih panela:
 - 4 odvojena nosača u jednom nizu, svaki za 3 fotonaponska modula (3 reda × 1 kolona, položeno); razmak između nosača 400 mm, dužina niza 10 312 mm
 - nagib fiksno 45°, orijentacija JUGOZAPAD (azimut 225°), niz paralelan sa jugozapadnom ogradom
 - gabariti po nosaču: širina polja 2278 mm (poprečna greda 2891 mm, bočni prepust 306,5 mm), dužina polja po nagibu 3442 mm, horizontalna projekcija 2434 mm pri nagibu 45°; donja ivica panela na +0,50 m, gornja ivica na +2,93 m od nivoa terena
 - smještaj (43,288012° N, 17,624794° E, 493 m n.v.): nosači se temelje IZVAN ograđenog platoa, jugozapadno od ploče i ograde, u pojasu dubine 3300 mm i dužine 12,50 m (JZ strana), unutar zakupa k.č. 109/1 K.O. Hamzići (12,00 × 12,50 m); trake 350 mm od granice zakupa i od ploče; gornja (sjeveroistočna) ivica panela je 0,93 m iznad vrha ograde — ograda je h=1,80 m iznad ploče, odnosno 2,00 m iznad vanjskog terena, koji je uz ploču na −0,20 m (ovjereni 04_Ograda)
 - materijal, antikorozivna zaštita, zavarivanje i spojni pribor prema Prilogu I, Tačka 3.3
 - uključeno ožičenje i povezivanje panela do PVDB distribucije preko po-string DC odvodnika prenapona (v. crtež H-05): 12 modula se povezuje u DVA STRINGA po 6 modula (string 1 — nosači PV-1 i PV-2; string 2 — nosači PV-3 i PV-4), po jedan string na svaku od dvije rute PVDB ormara
 - UZ PONUDU: Ponuđač je obavezan da uz ponudu dostavi tehničko rješenje konstrukcije za prihvat fotonaponskih panela za predmetnu lokaciju, sa obaveznim statičkim proračunom (Tačka 1.3) i specifikacijom materijala. Tehničko rješenje mora biti pregledano i odobreno prije početka izvođenja radova</t>
        </is>
      </c>
      <c r="C12" s="113" t="inlineStr">
        <is>
          <t>kpl</t>
        </is>
      </c>
      <c r="D12" s="113" t="n">
        <v>4</v>
      </c>
      <c r="E12" s="114" t="n"/>
      <c r="F12" s="114">
        <f>IF(AND(D12&lt;&gt;"",E12&lt;&gt;""),D12*E12,"")</f>
        <v/>
      </c>
    </row>
    <row r="13" s="92">
      <c r="A13" s="111" t="inlineStr">
        <is>
          <t>1.2</t>
        </is>
      </c>
      <c r="B13" s="112" t="inlineStr">
        <is>
          <t>Isporuka i ugradnja sistema sidrenja nosive konstrukcije iz Tačke 1.1 u stijenu/beton, hemijskim (epoksidnim) ankerima.
 - tip: hemijski (epoksidni/vinilesterski) anker M16 ili M20 sa ETA odobrenjem za ugradnju u beton i/ili stijenu, vruće cinčan ili nehrđajući A4
 - broj: najmanje 2 ankera po temeljnoj traci, odnosno 4 ankera po nosaču
 - nosivost i dubina ugradnje: prema ETA za konkretnu podlogu i prema statičkom proračunu iz Tačke 1.3; projektne sile ankerisanja proizlaze iz koncepta konstrukcije koji Ponuđač nudi i iskazuju se u tehničkom rješenju
 - dokazivanje: ispitivanje čupanjem (pull-out test) na najmanje 2 ankera po lokaciji, do 1,5 × projektne sile iz odobrenog tehničkog rješenja, uz zapisnik ovjeren od nadzornog organa</t>
        </is>
      </c>
      <c r="C13" s="113" t="inlineStr">
        <is>
          <t>kpl</t>
        </is>
      </c>
      <c r="D13" s="113" t="n">
        <v>4</v>
      </c>
      <c r="E13" s="114" t="n"/>
      <c r="F13" s="114">
        <f>IF(AND(D13&lt;&gt;"",E13&lt;&gt;""),D13*E13,"")</f>
        <v/>
      </c>
    </row>
    <row r="14" s="92">
      <c r="A14" s="115" t="inlineStr">
        <is>
          <t>1.3</t>
        </is>
      </c>
      <c r="B14" s="116" t="inlineStr">
        <is>
          <t>Statički proračun nosive konstrukcije i temelja, ovjeren i potpisan od strane ovlaštenog inženjera.
 - dokaz na dejstvo vjetra prema BAS EN 1991-1-4 sa BiH nacionalnim aneksom, uključujući faktor orografije za lokalitet
 - dokaz na opterećenje snijegom prema BAS EN 1991-1-3 i na radijalni led prema ovjerenoj projektnoj dokumentaciji lokacije
 - dokaz sigurnosti na podizanje (uplift) i prevrtanje prema BAS EN 1990
 - dimenzionisanje čelične konstrukcije prema BAS EN 1993-1-1, izvedba prema BAS EN 1090-2
 - dimenzionisanje temelja i sidrenja prema stvarnim geotehničkim uslovima (kamenito tlo), uz navođenje dubine smrzavanja za lokalitet
NAPOMENA: Statički proračun se dostavlja u sklopu tehničkog rješenja i uslov je za počinjanje radova. Prije početka izvođenja radova tehničko rješenje mora biti pregledano i odobreno.</t>
        </is>
      </c>
      <c r="C14" s="117" t="inlineStr">
        <is>
          <t>kpl</t>
        </is>
      </c>
      <c r="D14" s="117" t="n">
        <v>1</v>
      </c>
      <c r="E14" s="118" t="n"/>
      <c r="F14" s="118">
        <f>IF(AND(D14&lt;&gt;"",E14&lt;&gt;""),D14*E14,"")</f>
        <v/>
      </c>
    </row>
    <row r="15" s="92">
      <c r="A15" s="115" t="inlineStr">
        <is>
          <t>1.4</t>
        </is>
      </c>
      <c r="B15" s="116" t="inlineStr">
        <is>
          <t>Uzemljenje nosivih konstrukcija: povezivanje sva četiri nosača na postojeći prstenasti uzemljivač lokacije bakarnim užetom presjeka 50 mm² sa izolacijom otpornom na UV zračenje i ukopavanje, preko priključnih stezaljki na konstrukciji i bimetalnih (Cu/Fe-Zn) ukrsnih komada radi sprječavanja galvanske korozije. Presjek prema EN 62305-3, Tabela 7, za odvođenje atmosferskog pražnjenja. Kontinuitet svih spojeva ≤0,1 Ω, ukupni otpor uzemljenja ≤10 Ω. DC kablovi se polažu na razmaku ≥0,5 m od odvoda gromobranske instalacije (Huawei §4.1.3).</t>
        </is>
      </c>
      <c r="C15" s="117" t="inlineStr">
        <is>
          <t>kpl</t>
        </is>
      </c>
      <c r="D15" s="117" t="n">
        <v>4</v>
      </c>
      <c r="E15" s="118" t="n"/>
      <c r="F15" s="118">
        <f>IF(AND(D15&lt;&gt;"",E15&lt;&gt;""),D15*E15,"")</f>
        <v/>
      </c>
    </row>
    <row r="16" s="92">
      <c r="A16" s="115" t="inlineStr">
        <is>
          <t>1.5</t>
        </is>
      </c>
      <c r="B16" s="119" t="inlineStr">
        <is>
          <t>Dokumentacija izvedenog stanja za LOT 1: kataloška dokumentacija nosača sa tehničkim crtežima, statički proračun, atesti materijala i vrućeg cinčanja, garantni list.</t>
        </is>
      </c>
      <c r="C16" s="117" t="inlineStr">
        <is>
          <t>kpl</t>
        </is>
      </c>
      <c r="D16" s="117" t="n">
        <v>1</v>
      </c>
      <c r="E16" s="118" t="n"/>
      <c r="F16" s="118">
        <f>IF(AND(D16&lt;&gt;"",E16&lt;&gt;""),D16*E16,"")</f>
        <v/>
      </c>
    </row>
    <row r="17" s="92">
      <c r="A17" s="115" t="inlineStr">
        <is>
          <t>1.6</t>
        </is>
      </c>
      <c r="B17" s="119" t="inlineStr">
        <is>
          <t>Postojeći uzemljivač na ukrštanjima sa temeljnim trakama: lociranje (detektor, ručni iskop), otkopavanje i zaštita dva postojeća prstena FeZn 25 × 4 mm na dubini 0,8 m (kvadrati 7,50 m i 10,00 m oko ploče, 1,05 m i 2,30 m od ivice ploče — ovjereni Plan uzemljivača 3.6.9); prsten se ne prekida trajno — premješta se ispod ili oko trake ili premošćuje istim materijalom, spojevi prema EN 62305-3 sa antikorozivnom zaštitom; spoj sa uzemljenjem nosača; mjerenje otpora rasprostiranja prije i poslije radova, zapisnik.</t>
        </is>
      </c>
      <c r="C17" s="117" t="inlineStr">
        <is>
          <t>kpl</t>
        </is>
      </c>
      <c r="D17" s="117" t="n">
        <v>1</v>
      </c>
      <c r="E17" s="118" t="n"/>
      <c r="F17" s="118">
        <f>IF(AND(D17&lt;&gt;"",E17&lt;&gt;""),D17*E17,"")</f>
        <v/>
      </c>
    </row>
    <row r="18" ht="24" customHeight="1" s="92">
      <c r="A18" s="115" t="n"/>
      <c r="B18" s="120" t="n"/>
      <c r="F18" s="118" t="n"/>
    </row>
    <row r="19" ht="24" customHeight="1" s="92">
      <c r="A19" s="121" t="n"/>
      <c r="B19" s="121" t="inlineStr">
        <is>
          <t>UKUPNO 1 — NOSAČI ZA FOTONAPONSKE PANELE:</t>
        </is>
      </c>
      <c r="C19" s="122" t="n"/>
      <c r="D19" s="122" t="n"/>
      <c r="E19" s="123" t="n"/>
      <c r="F19" s="124">
        <f>SUM(F12:F18)</f>
        <v/>
      </c>
    </row>
    <row r="20" s="92">
      <c r="A20" s="125" t="inlineStr">
        <is>
          <t>2</t>
        </is>
      </c>
      <c r="B20" s="126" t="inlineStr">
        <is>
          <t>GRAĐEVINSKI RADOVI</t>
        </is>
      </c>
      <c r="C20" s="127" t="n"/>
      <c r="D20" s="127" t="n"/>
      <c r="E20" s="127" t="n"/>
      <c r="F20" s="127" t="n"/>
    </row>
    <row r="21" s="92">
      <c r="A21" s="128" t="inlineStr">
        <is>
          <t>2.1</t>
        </is>
      </c>
      <c r="B21" s="129" t="inlineStr">
        <is>
          <t>Iskop zemlje/stijene IV-V kategorije za temeljne trake nosača, do donje ivice podložnog betona. Rov širine 500 mm, dubine 950 mm, dužine 2600 mm. 4 nosača × 2 trake × 1,235 m3. Rov se u stijeni siječe jednom širinom po cijeloj dubini; traka se betonira do zida rova, pa zatrpavanja nema.</t>
        </is>
      </c>
      <c r="C21" s="130" t="inlineStr">
        <is>
          <t>m3</t>
        </is>
      </c>
      <c r="D21" s="130" t="n">
        <v>9.880000000000001</v>
      </c>
      <c r="E21" s="131" t="n"/>
      <c r="F21" s="131">
        <f>IF(AND(D21&lt;&gt;"",E21&lt;&gt;""),D21*E21,"")</f>
        <v/>
      </c>
    </row>
    <row r="22" s="92">
      <c r="A22" s="128" t="inlineStr">
        <is>
          <t>2.2</t>
        </is>
      </c>
      <c r="B22" s="129" t="inlineStr">
        <is>
          <t>Odvoz i zbrinjavanje viška materijala od iskopa do deponije udaljene do 20 km. Traka i podložni beton ispunjavaju rov u cijelosti, pa se odvozi sav iskopani materijal. 4 nosača × 2 trake × 1,235 m3</t>
        </is>
      </c>
      <c r="C22" s="130" t="inlineStr">
        <is>
          <t>m3</t>
        </is>
      </c>
      <c r="D22" s="130" t="n">
        <v>9.880000000000001</v>
      </c>
      <c r="E22" s="131" t="n"/>
      <c r="F22" s="131">
        <f>IF(AND(D22&lt;&gt;"",E22&lt;&gt;""),D22*E22,"")</f>
        <v/>
      </c>
    </row>
    <row r="23" s="92">
      <c r="A23" s="128" t="inlineStr">
        <is>
          <t>2.3</t>
        </is>
      </c>
      <c r="B23" s="129" t="inlineStr">
        <is>
          <t>Nabavka materijala, transport i ugradnja podložnog betona C12/15 ispod temeljnih traka, prema zahtjevima proizvođača. 4 nosača × 2 trake × 0,065 m3</t>
        </is>
      </c>
      <c r="C23" s="130" t="inlineStr">
        <is>
          <t>m3</t>
        </is>
      </c>
      <c r="D23" s="130" t="n">
        <v>0.52</v>
      </c>
      <c r="E23" s="131" t="n"/>
      <c r="F23" s="131">
        <f>IF(AND(D23&lt;&gt;"",E23&lt;&gt;""),D23*E23,"")</f>
        <v/>
      </c>
    </row>
    <row r="24" s="92">
      <c r="A24" s="128" t="inlineStr">
        <is>
          <t>2.4</t>
        </is>
      </c>
      <c r="B24" s="129" t="inlineStr">
        <is>
          <t>Nabavka materijala, transport i betoniranje DVIJE temeljne trake po nosaču, betonom C30/37 klase izloženosti XC4 + XF3 prema BAS EN 206 (aerant 4–6 %, Dmax 16, konzistencija S3), uz upotrebu oplate i njegovanje betona. Armatura B500B, zaštitni sloj ≥50 mm, prema ovjerenom statičkom proračunu iz Tačke 1.3. Obračun po m³ ugrađenog betona. Traka 500 × 2600 mm, jedinstvene širine po cijeloj dubini (bez proširenja u dnu), PUNE dubine 900 mm = 1,170 m³ po traci. 4 nosača × 2 trake × 1,170 m³
BETON I ARMATURA: beton klase C30/37, klase izloženosti XC4 + XF3 prema BAS EN 206, sa aerantom 4–6 %, Dmax 16, konzistencija S3; podložni beton C12/15 d=50 mm; armatura B500B, zaštitni sloj ≥50 mm. Klasa XF3: ista specifikacija kao na lokaciji Sjednica, radi jednog opisa za obje lokacije. Temeljna spojnica mora biti ispod dubine smrzavanja za lokalitet, koju Ponuđač navodi u ponudi. Dubina 900 mm je tenderska osnova i mjerodavna je za ponudu; konačnu dubinu i armaturu potvrđuje ovjereni statički proračun iz Tačke 1.3. Traka se betonira punom dubinom rova i do zida rova — vlastita težina trake je dio dokaza sigurnosti na podizanje i prevrtanje. Temelj širi u dnu nego u vrhu tražio bi potkopavanje i u stijeni nije izvodiv, pa je presjek jedinstven.</t>
        </is>
      </c>
      <c r="C24" s="130" t="inlineStr">
        <is>
          <t>m3</t>
        </is>
      </c>
      <c r="D24" s="130" t="n">
        <v>9.359999999999999</v>
      </c>
      <c r="E24" s="131" t="n"/>
      <c r="F24" s="131">
        <f>IF(AND(D24&lt;&gt;"",E24&lt;&gt;""),D24*E24,"")</f>
        <v/>
      </c>
    </row>
    <row r="25" s="92">
      <c r="A25" s="128" t="inlineStr">
        <is>
          <t>2.5</t>
        </is>
      </c>
      <c r="B25" s="129" t="inlineStr">
        <is>
          <t>Obrada vidljivih strana i gornje površine temeljnih traka cementnim malterom u nagibu 1,0 %, zaglađeno do crnog sjaja. 0,50 × 2,60 × 8 traka = 10,4 m².</t>
        </is>
      </c>
      <c r="C25" s="130" t="inlineStr">
        <is>
          <t>m2</t>
        </is>
      </c>
      <c r="D25" s="130" t="n">
        <v>10.4</v>
      </c>
      <c r="E25" s="131" t="n"/>
      <c r="F25" s="131">
        <f>IF(AND(D25&lt;&gt;"",E25&lt;&gt;""),D25*E25,"")</f>
        <v/>
      </c>
    </row>
    <row r="26" s="92">
      <c r="A26" s="128" t="inlineStr">
        <is>
          <t>2.6</t>
        </is>
      </c>
      <c r="B26" s="132" t="inlineStr">
        <is>
          <t>Ostali sitni građevinski i potrošni materijal.</t>
        </is>
      </c>
      <c r="C26" s="130" t="inlineStr">
        <is>
          <t>paušal</t>
        </is>
      </c>
      <c r="D26" s="130" t="n">
        <v>1</v>
      </c>
      <c r="E26" s="131" t="n"/>
      <c r="F26" s="131">
        <f>IF(AND(D26&lt;&gt;"",E26&lt;&gt;""),D26*E26,"")</f>
        <v/>
      </c>
    </row>
    <row r="27" ht="15" customHeight="1" s="92">
      <c r="A27" s="135" t="n"/>
      <c r="B27" s="135" t="inlineStr">
        <is>
          <t>UKUPNO 2 — GRAĐEVINSKI RADOVI ZA NOSAČE FN PANELA:</t>
        </is>
      </c>
      <c r="C27" s="136" t="n"/>
      <c r="D27" s="136" t="n"/>
      <c r="E27" s="137" t="n"/>
      <c r="F27" s="138">
        <f>SUM(F21:F26)</f>
        <v/>
      </c>
    </row>
    <row r="28" ht="24" customHeight="1" s="92"/>
    <row r="29" ht="15" customHeight="1" s="92">
      <c r="A29" s="139" t="n"/>
      <c r="B29" s="139" t="inlineStr">
        <is>
          <t>UKUPNO LOT 1 — BS HAMZIĆI (bez PDV-a):</t>
        </is>
      </c>
      <c r="C29" s="136" t="n"/>
      <c r="D29" s="137" t="n"/>
      <c r="E29" s="137" t="n"/>
      <c r="F29" s="140">
        <f>F19+F27</f>
        <v/>
      </c>
    </row>
  </sheetData>
  <mergeCells count="2">
    <mergeCell ref="A2:F2"/>
    <mergeCell ref="A3:F3"/>
  </mergeCells>
  <printOptions horizontalCentered="1" verticalCentered="0" headings="0" gridLines="0" gridLinesSet="1"/>
  <pageMargins left="0.75" right="0.75" top="1" bottom="1" header="0.5" footer="0.511811023622047"/>
  <pageSetup orientation="landscape" paperSize="1" scale="100" fitToHeight="0" fitToWidth="1" pageOrder="downThenOver" blackAndWhite="0" draft="0" horizontalDpi="300" verticalDpi="300" copies="1"/>
  <headerFooter differentOddEven="0" differentFirst="0">
    <oddHeader>&amp;R&amp;"Times New Roman,Regular"&amp;12 &amp;"Arial,Regular"&amp;10 [BH Telecom | &amp;"Arial,Bold"Interno&amp;"Arial,Regular"]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tabSelected="0" zoomScale="150" zoomScaleNormal="150" workbookViewId="0">
      <selection activeCell="A1" sqref="A1"/>
    </sheetView>
  </sheetViews>
  <sheetFormatPr baseColWidth="8" defaultColWidth="11.53515625" defaultRowHeight="15" customHeight="0" zeroHeight="0" outlineLevelRow="0"/>
  <cols>
    <col width="4.73" customWidth="1" style="92" min="1" max="1"/>
    <col width="80.59999999999999" customWidth="1" style="92" min="2" max="2"/>
    <col width="6.3" customWidth="1" style="92" min="3" max="3"/>
    <col width="4.17" customWidth="1" style="92" min="4" max="4"/>
    <col width="12.42" customWidth="1" style="92" min="5" max="5"/>
    <col width="14.29" customWidth="1" style="92" min="6" max="6"/>
  </cols>
  <sheetData>
    <row r="1" s="92">
      <c r="A1" s="93" t="inlineStr">
        <is>
          <t>PRILOG II TD</t>
        </is>
      </c>
    </row>
    <row r="2" s="92">
      <c r="A2" s="94" t="inlineStr">
        <is>
          <t>OBRAZAC ZA CIJENU PONUDE - LOT 1 - REKAPITULACIJA</t>
        </is>
      </c>
    </row>
    <row r="3" ht="30" customHeight="1" s="92">
      <c r="A3" s="181" t="inlineStr">
        <is>
          <t>INFRASTRUKTURA I INSTALACIJA OPREME ZA AUTONOMNI HIBRIDNI SISTEM NAPAJANJA
BS SJEDNICA I BS HAMZIĆI (LOT 1 i 2)</t>
        </is>
      </c>
    </row>
    <row r="4"/>
    <row r="5" s="92">
      <c r="B5" s="148" t="inlineStr">
        <is>
          <t>Naziv Ponuđača:       __________________________________</t>
        </is>
      </c>
    </row>
    <row r="6" s="92">
      <c r="B6" s="148" t="inlineStr">
        <is>
          <t>Ponuda br.:              __________________________________</t>
        </is>
      </c>
    </row>
    <row r="7"/>
    <row r="8" ht="15" customHeight="1" s="92">
      <c r="B8" t="inlineStr">
        <is>
          <t>REKAPITULACIJA</t>
        </is>
      </c>
    </row>
    <row r="9" s="92">
      <c r="A9" s="125" t="n"/>
      <c r="B9" s="159" t="inlineStr">
        <is>
          <t>LOT 1 — KONSTRUKCIJA NOSAČA ZA FOTONAPONSKE PANELE</t>
        </is>
      </c>
      <c r="C9" s="160" t="n"/>
      <c r="D9" s="160" t="n"/>
      <c r="E9" s="127" t="n"/>
      <c r="F9" s="127" t="n"/>
    </row>
    <row r="10" s="92">
      <c r="A10" s="170" t="n"/>
      <c r="B10" s="161" t="inlineStr">
        <is>
          <t>BS Sjednica (Bileća) — LOT 1 bez PDV-a [KM]:</t>
        </is>
      </c>
      <c r="C10" s="168" t="n"/>
      <c r="D10" s="168" t="n"/>
      <c r="E10" s="137" t="n"/>
      <c r="F10" s="172">
        <f>'LOT 1 Sjednica'!F28</f>
        <v/>
      </c>
    </row>
    <row r="11" s="92">
      <c r="A11" s="170" t="n"/>
      <c r="B11" s="161" t="inlineStr">
        <is>
          <t>BS Hamzići (Čitluk) — LOT 1 bez PDV-a [KM]:</t>
        </is>
      </c>
      <c r="C11" s="168" t="n"/>
      <c r="D11" s="168" t="n"/>
      <c r="E11" s="137" t="n"/>
      <c r="F11" s="172">
        <f>'LOT 1 Hamzići'!F29</f>
        <v/>
      </c>
    </row>
    <row r="12" ht="15" customHeight="1" s="92">
      <c r="A12" s="173" t="n"/>
      <c r="B12" s="174" t="inlineStr">
        <is>
          <t>UKUPNO LOT 1 (BS Sjednica + BS Hamzići) bez PDV-a [KM]:</t>
        </is>
      </c>
      <c r="C12" s="168" t="n"/>
      <c r="D12" s="168" t="n"/>
      <c r="E12" s="137" t="n"/>
      <c r="F12" s="137">
        <f>SUM(F10:F11)</f>
        <v/>
      </c>
    </row>
    <row r="13" ht="15" customHeight="1" s="92">
      <c r="A13" s="173" t="n"/>
      <c r="B13" s="174" t="inlineStr">
        <is>
          <t>Popust [%]:</t>
        </is>
      </c>
      <c r="C13" s="168" t="n"/>
      <c r="D13" s="168" t="n"/>
      <c r="E13" s="137" t="n"/>
      <c r="F13" s="172" t="n"/>
    </row>
    <row r="14" ht="15" customHeight="1" s="92">
      <c r="A14" s="173" t="n"/>
      <c r="B14" s="174" t="inlineStr">
        <is>
          <t>UKUPNO LOT 1 sa popustom bez PDV-a [KM]:</t>
        </is>
      </c>
      <c r="C14" s="168" t="n"/>
      <c r="D14" s="168" t="n"/>
      <c r="E14" s="137" t="n"/>
      <c r="F14" s="137">
        <f>F12*(1-IF(F13="",0,F13/100))</f>
        <v/>
      </c>
    </row>
    <row r="15" ht="15" customHeight="1" s="92">
      <c r="A15" s="173" t="n"/>
      <c r="B15" s="174" t="inlineStr">
        <is>
          <t>Iznos PDV-a (17 %) [KM]:</t>
        </is>
      </c>
      <c r="C15" s="168" t="n"/>
      <c r="D15" s="168" t="n"/>
      <c r="E15" s="137" t="n"/>
      <c r="F15" s="137">
        <f>F14*0.17</f>
        <v/>
      </c>
    </row>
    <row r="16" ht="15" customHeight="1" s="92">
      <c r="A16" s="173" t="n"/>
      <c r="B16" s="174" t="inlineStr">
        <is>
          <t>UKUPNO LOT 1 sa popustom i PDV-om [KM]:</t>
        </is>
      </c>
      <c r="C16" s="168" t="n"/>
      <c r="D16" s="168" t="n"/>
      <c r="E16" s="137" t="n"/>
      <c r="F16" s="137">
        <f>F14+F15</f>
        <v/>
      </c>
    </row>
    <row r="17"/>
    <row r="18" s="92">
      <c r="A18" s="176" t="n"/>
      <c r="B18" s="177" t="inlineStr">
        <is>
          <t>NAPOMENA:</t>
        </is>
      </c>
    </row>
    <row r="19" s="92">
      <c r="A19" s="178" t="n"/>
      <c r="B19" s="179" t="inlineStr">
        <is>
          <t>- Nabavka je podijeljena na dva LOT-a prema vrsti radova: LOT 1 — konstrukcija nosača za fotonaponske panele, LOT 2 — agregatsko postrojenje (DEA) u postojećem kontejneru. Svaki LOT obuhvata OBJE lokacije: BS Sjednica (Bileća) i BS Hamzići (Čitluk). Ponuđač može dostaviti ponudu za JEDAN ili OBA LOT-a. Ugovor se dodjeljuje po LOT-u, prema kriteriju najniže cijene tehnički zadovoljavajuće ponude.</t>
        </is>
      </c>
    </row>
    <row r="20" s="92">
      <c r="A20" s="178" t="n"/>
      <c r="B20" s="179" t="inlineStr">
        <is>
          <t>- Ovaj obrazac se odnosi na LOT 1. Za drugi LOT popunjava se, potpisuje i ovjerava zaseban obrazac; ponuđač koji ne pristupa drugom LOT-u ne dostavlja njegov obrazac.</t>
        </is>
      </c>
    </row>
    <row r="21" s="92">
      <c r="A21" s="178" t="n"/>
      <c r="B21" s="179" t="inlineStr">
        <is>
          <t>- Cijene se upisuju posebno za svaku lokaciju, na listovima „LOT 1 Sjednica“ i „LOT 1 Hamzići“; iznosi se automatski prenose u ovu rekapitulaciju.</t>
        </is>
      </c>
    </row>
    <row r="22" s="92">
      <c r="A22" s="178" t="n"/>
      <c r="B22" s="179" t="inlineStr">
        <is>
          <t>- Ugovorne obaveze nastaju po upućivanju pismenog zahtjeva/narudžbe od strane BH Telecom-a.</t>
        </is>
      </c>
    </row>
    <row r="23" s="92">
      <c r="A23" s="178" t="n"/>
      <c r="B23" s="179" t="inlineStr">
        <is>
          <t>- Količine u Tačkama 2. i 5. su orijentacione, posebno za svaku lokaciju, i utvrđene na osnovu podataka iz RFI dokumentacije. Konačne količine utvrđuju se elaboratom montaže i geodetskim snimkom, a obračunavaju se po stvarno izvedenim količinama.</t>
        </is>
      </c>
    </row>
    <row r="24" s="92">
      <c r="A24" s="178" t="n"/>
      <c r="B24" s="179" t="inlineStr">
        <is>
          <t>- LOT 2 obuhvata montažu i uvezivanje sistema DO POTPUNE GOTOVOSTI, na obje lokacije.</t>
        </is>
      </c>
    </row>
    <row r="25" s="92">
      <c r="A25" s="178" t="n"/>
      <c r="B25" s="179" t="inlineStr">
        <is>
          <t>- Grafički prilozi za obje lokacije (situacija postojećeg i budućeg stanja, presjek, dispozicija opreme) dati su u PRILOGU III tenderske dokumentacije.</t>
        </is>
      </c>
    </row>
    <row r="26"/>
    <row r="27" ht="15" customHeight="1" s="92">
      <c r="B27" s="148" t="inlineStr">
        <is>
          <t>Datum:  ___________________________</t>
        </is>
      </c>
    </row>
    <row r="28"/>
    <row r="29" ht="15" customHeight="1" s="92">
      <c r="B29" s="182" t="inlineStr">
        <is>
          <t>Potpis i pečat Ponuđača:  ___________________________</t>
        </is>
      </c>
    </row>
  </sheetData>
  <mergeCells count="2">
    <mergeCell ref="A3:F3"/>
    <mergeCell ref="A2:F2"/>
  </mergeCells>
  <printOptions horizontalCentered="0" verticalCentered="0" headings="0" gridLines="0" gridLinesSet="1"/>
  <pageMargins left="0.7" right="0.7" top="0.75" bottom="0.75" header="0.3" footer="0.511811023622047"/>
  <pageSetup orientation="portrait" paperSize="9" fitToHeight="0" fitToWidth="1"/>
  <headerFooter differentOddEven="0" differentFirst="0">
    <oddHeader>&amp;R&amp;"Times New Roman,Regular"&amp;12 &amp;"Arial,Regular"&amp;10 [BH Telecom | &amp;"Arial,Bold"Interno&amp;"Arial,Regular"]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en-GB</dc:language>
  <dcterms:created xmlns:dcterms="http://purl.org/dc/terms/" xmlns:xsi="http://www.w3.org/2001/XMLSchema-instance" xsi:type="dcterms:W3CDTF">2026-08-06T15:05:01Z</dcterms:created>
  <dcterms:modified xmlns:dcterms="http://purl.org/dc/terms/" xmlns:xsi="http://www.w3.org/2001/XMLSchema-instance" xsi:type="dcterms:W3CDTF">2026-09-15T19:53:38Z</dcterms:modified>
  <cp:revision>6</cp:revision>
  <cp:keywords xml:space="preserve"> [BH Telecom | Interno]</cp:keywords>
</cp:coreProperties>
</file>

<file path=docProps/custom.xml><?xml version="1.0" encoding="utf-8"?>
<Properties xmlns="http://schemas.openxmlformats.org/officeDocument/2006/custom-properties">
  <property name="bjClsUserRVM" fmtid="{D5CDD505-2E9C-101B-9397-08002B2CF9AE}" pid="2">
    <vt:lpwstr xmlns:vt="http://schemas.openxmlformats.org/officeDocument/2006/docPropsVTypes">[]</vt:lpwstr>
  </property>
  <property name="bjDocumentLabelXML" fmtid="{D5CDD505-2E9C-101B-9397-08002B2CF9AE}" pid="3">
    <vt:lpwstr xmlns:vt="http://schemas.openxmlformats.org/officeDocument/2006/docPropsVTypes">&lt;?xml version="1.0" encoding="us-ascii"?&gt;&lt;sisl xmlns:xsi="http://www.w3.org/2001/XMLSchema-instance" xmlns:xsd="http://www.w3.org/2001/XMLSchema" sislVersion="0" policy="5f91bfb2-a9c1-45d0-8517-08b1f316eb15" origin="userSelected" xmlns="http://www.boldonj</vt:lpwstr>
  </property>
  <property name="bjDocumentLabelXML-0" fmtid="{D5CDD505-2E9C-101B-9397-08002B2CF9AE}" pid="4">
    <vt:lpwstr xmlns:vt="http://schemas.openxmlformats.org/officeDocument/2006/docPropsVTypes">ames.com/2008/01/sie/internal/label"&gt;&lt;element uid="id_classification_generalbusiness" value="" /&gt;&lt;/sisl&gt;</vt:lpwstr>
  </property>
  <property name="bjDocumentSecurityLabel" fmtid="{D5CDD505-2E9C-101B-9397-08002B2CF9AE}" pid="5">
    <vt:lpwstr xmlns:vt="http://schemas.openxmlformats.org/officeDocument/2006/docPropsVTypes">Interno</vt:lpwstr>
  </property>
  <property name="bjLabelHistoryID" fmtid="{D5CDD505-2E9C-101B-9397-08002B2CF9AE}" pid="6">
    <vt:lpwstr xmlns:vt="http://schemas.openxmlformats.org/officeDocument/2006/docPropsVTypes">{740AF07F-B5FD-4336-9AA5-5B70F58EC679}</vt:lpwstr>
  </property>
  <property name="bjRightHeaderLabel" fmtid="{D5CDD505-2E9C-101B-9397-08002B2CF9AE}" pid="7">
    <vt:lpwstr xmlns:vt="http://schemas.openxmlformats.org/officeDocument/2006/docPropsVTypes">&amp;"Times New Roman,Regular"&amp;12&amp;K000000 &amp;"Arial,Regular"&amp;10&amp;K000000[BH Telecom | &amp;B&amp;K000000Interno&amp;B&amp;K000000]</vt:lpwstr>
  </property>
  <property name="bjRightHeaderLabel-even" fmtid="{D5CDD505-2E9C-101B-9397-08002B2CF9AE}" pid="8">
    <vt:lpwstr xmlns:vt="http://schemas.openxmlformats.org/officeDocument/2006/docPropsVTypes">&amp;"Times New Roman,Regular"&amp;12&amp;K000000 &amp;"Arial,Regular"&amp;10&amp;K000000[BH Telecom | &amp;B&amp;K000000Interno&amp;B&amp;K000000]</vt:lpwstr>
  </property>
  <property name="bjRightHeaderLabel-first" fmtid="{D5CDD505-2E9C-101B-9397-08002B2CF9AE}" pid="9">
    <vt:lpwstr xmlns:vt="http://schemas.openxmlformats.org/officeDocument/2006/docPropsVTypes">&amp;"Times New Roman,Regular"&amp;12&amp;K000000 &amp;"Arial,Regular"&amp;10&amp;K000000[BH Telecom | &amp;B&amp;K000000Interno&amp;B&amp;K000000]</vt:lpwstr>
  </property>
  <property name="bjSaver" fmtid="{D5CDD505-2E9C-101B-9397-08002B2CF9AE}" pid="10">
    <vt:lpwstr xmlns:vt="http://schemas.openxmlformats.org/officeDocument/2006/docPropsVTypes">PBKzKNjp5eaEU3tBjVgEWI+fS8Y9fUcj</vt:lpwstr>
  </property>
  <property name="docIndexRef" fmtid="{D5CDD505-2E9C-101B-9397-08002B2CF9AE}" pid="11">
    <vt:lpwstr xmlns:vt="http://schemas.openxmlformats.org/officeDocument/2006/docPropsVTypes">8fb2bdcd-5e0f-4d13-acfc-f618c7274118</vt:lpwstr>
  </property>
</Properties>
</file>