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OT 2 Sjednica" sheetId="1" state="visible" r:id="rId1"/>
    <sheet xmlns:r="http://schemas.openxmlformats.org/officeDocument/2006/relationships" name="LOT 2 Hamzići" sheetId="2" state="visible" r:id="rId2"/>
    <sheet xmlns:r="http://schemas.openxmlformats.org/officeDocument/2006/relationships" name="REKAPITULACIJA LOT 2" sheetId="3" state="visible" r:id="rId3"/>
  </sheets>
  <definedNames>
    <definedName name="_xlnm.Print_Titles" localSheetId="0">'LOT 2 Sjednica'!$8:$9</definedName>
    <definedName name="_xlnm.Print_Area" localSheetId="0">'LOT 2 Sjednica'!$A$1:$F$67</definedName>
    <definedName name="_xlnm.Print_Titles" localSheetId="1">'LOT 2 Hamzići'!$8:$9</definedName>
    <definedName name="_xlnm.Print_Area" localSheetId="1">'LOT 2 Hamzići'!$A$1:$F$68</definedName>
    <definedName name="_xlnm.Print_Area" localSheetId="2">'REKAPITULACIJA LOT 2'!$A$1:$F$29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0" borderId="0" applyAlignment="1" pivotButton="0" quotePrefix="0" xfId="0">
      <alignment horizontal="center" vertical="center" wrapText="1"/>
    </xf>
    <xf numFmtId="0" fontId="9"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67"/>
  <sheetViews>
    <sheetView tabSelected="1"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SJEDNICA (BILEĆA)</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Snimanje postojećeg stanja i prevezivanje postojećih strujnih krugova na novi GRO iz Tačke 5.6. Obuhvata:
 - snimanje i evidentiranje svih 7 postojećih strujnih krugova postojećeg razvoda, sa mjerenjem opterećenja i izradom jednopolne sheme zatečenog stanja
 - prevezivanje krugova na odgovarajuće izvode novog GRO, sa označavanjem
 - SIGNALNA RASVJETA antenskog stuba h=38 m (krug K7) NE prevezuje se na novi GRO: priključuje se na DC razvod −48 V iz Tačke 5.16, svjetiljka prema Tački 5.17, sa nadzorom ispada i dojavom u sistem daljinskog nadzora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ažuriranom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s="92">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s="92">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28" t="inlineStr">
        <is>
          <t>5.19</t>
        </is>
      </c>
      <c r="B56"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6" s="128" t="inlineStr">
        <is>
          <t>kpl</t>
        </is>
      </c>
      <c r="D56" s="128" t="n">
        <v>1</v>
      </c>
      <c r="E56" s="131" t="n"/>
      <c r="F56" s="131">
        <f>IF(AND(D56&lt;&gt;"",E56&lt;&gt;""),D56*E56,"")</f>
        <v/>
      </c>
    </row>
    <row r="57" s="92">
      <c r="A57" s="135" t="n"/>
      <c r="B57" s="167" t="inlineStr">
        <is>
          <t>UKUPNO 5 — ELEKTROMONTAŽNI RADOVI:</t>
        </is>
      </c>
      <c r="C57" s="168" t="n"/>
      <c r="D57" s="168" t="n"/>
      <c r="E57" s="137" t="n"/>
      <c r="F57" s="138">
        <f>SUM(F39:F56)</f>
        <v/>
      </c>
    </row>
    <row r="58"/>
    <row r="59" s="92">
      <c r="A59" s="125" t="inlineStr">
        <is>
          <t>6</t>
        </is>
      </c>
      <c r="B59" s="159" t="inlineStr">
        <is>
          <t>PUŠTANJE U RAD, OBUKA I DOKUMENTACIJA (DO POTPUNE GOTOVOSTI)</t>
        </is>
      </c>
      <c r="C59" s="160" t="n"/>
      <c r="D59" s="160" t="n"/>
      <c r="E59" s="127" t="n"/>
      <c r="F59" s="127" t="n"/>
    </row>
    <row r="60" s="92">
      <c r="A60" s="162" t="n"/>
      <c r="B60" s="169" t="n"/>
      <c r="C60" s="168" t="n"/>
      <c r="D60" s="168" t="n"/>
      <c r="E60" s="137" t="n"/>
      <c r="F60" s="162" t="n"/>
    </row>
    <row r="61" s="92">
      <c r="A61" s="128" t="inlineStr">
        <is>
          <t>6.1</t>
        </is>
      </c>
      <c r="B61" s="161" t="inlineStr">
        <is>
          <t>Puštanje u rad kompletnog sistema, funkcionalno testiranje automatskog starta DEA po kriteriju stanja baterija, testiranje prelaska izvora i 72-satni probni rad sa zapisom parametara.</t>
        </is>
      </c>
      <c r="C61" s="128" t="inlineStr">
        <is>
          <t>kpl</t>
        </is>
      </c>
      <c r="D61" s="128" t="n">
        <v>1</v>
      </c>
      <c r="E61" s="131" t="n"/>
      <c r="F61" s="131">
        <f>IF(AND(D61&lt;&gt;"",E61&lt;&gt;""),D61*E61,"")</f>
        <v/>
      </c>
    </row>
    <row r="62" s="92">
      <c r="A62" s="128" t="inlineStr">
        <is>
          <t>6.2</t>
        </is>
      </c>
      <c r="B62"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2" s="128" t="inlineStr">
        <is>
          <t>kpl</t>
        </is>
      </c>
      <c r="D62" s="128" t="n">
        <v>1</v>
      </c>
      <c r="E62" s="131" t="n"/>
      <c r="F62" s="131">
        <f>IF(AND(D62&lt;&gt;"",E62&lt;&gt;""),D62*E62,"")</f>
        <v/>
      </c>
    </row>
    <row r="63" s="92">
      <c r="A63" s="128" t="inlineStr">
        <is>
          <t>6.3</t>
        </is>
      </c>
      <c r="B63" s="161" t="inlineStr">
        <is>
          <t>Obuka osoblja Investitora (do 4 osobe) za rukovanje i osnovno održavanje sistema, u trajanju od min. 1 radnog dana.</t>
        </is>
      </c>
      <c r="C63" s="128" t="inlineStr">
        <is>
          <t>kpl</t>
        </is>
      </c>
      <c r="D63" s="128" t="n">
        <v>1</v>
      </c>
      <c r="E63" s="131" t="n"/>
      <c r="F63" s="131">
        <f>IF(AND(D63&lt;&gt;"",E63&lt;&gt;""),D63*E63,"")</f>
        <v/>
      </c>
    </row>
    <row r="64" s="92">
      <c r="A64" s="128" t="inlineStr">
        <is>
          <t>6.4</t>
        </is>
      </c>
      <c r="B64" s="161" t="inlineStr">
        <is>
          <t>Izrada dokumentacije izvedenog stanja za kompletan LOT 2 (elektro, mašinski i građevinski dio), u 3 štampana primjerka i u elektronskoj formi (PDF + izvorni DWG/DOCX).</t>
        </is>
      </c>
      <c r="C64" s="128" t="inlineStr">
        <is>
          <t>kpl</t>
        </is>
      </c>
      <c r="D64" s="128" t="n">
        <v>1</v>
      </c>
      <c r="E64" s="131" t="n"/>
      <c r="F64" s="131">
        <f>IF(AND(D64&lt;&gt;"",E64&lt;&gt;""),D64*E64,"")</f>
        <v/>
      </c>
    </row>
    <row r="65" s="92">
      <c r="A65" s="135" t="n"/>
      <c r="B65" s="167" t="inlineStr">
        <is>
          <t>UKUPNO 6 — PUŠTANJE U RAD, OBUKA I DOKUMENTACIJA:</t>
        </is>
      </c>
      <c r="C65" s="168" t="n"/>
      <c r="D65" s="168" t="n"/>
      <c r="E65" s="137" t="n"/>
      <c r="F65" s="138">
        <f>SUM(F61:F64)</f>
        <v/>
      </c>
    </row>
    <row r="66"/>
    <row r="67" s="92">
      <c r="A67" s="170" t="n"/>
      <c r="B67" s="171" t="inlineStr">
        <is>
          <t>UKUPNO LOT 2 — BS SJEDNICA (bez PDV-a):</t>
        </is>
      </c>
      <c r="C67" s="168" t="n"/>
      <c r="D67" s="168" t="n"/>
      <c r="E67" s="137" t="n"/>
      <c r="F67" s="172">
        <f>F36+F57+F65</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F68"/>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HAMZIĆI (ČITLUK)</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lokacije 493 m n.v. i temperaturu okoline +40 °C: faktor 0,931, standby 13,4 kW, prime 12,3 kW;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(≈77 % derativane prime snage na 493 m n.v. i +40 °C, koja iznosi 12,3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(AG dio, tačka 4.4.2).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SJEVEROZAPADNOJ (SZ) strani ograde (svijetla širina 1,30 m) i ulazna vrata kontejnera na SZ zidu, 1,00 × 2,15 m — skid 620 mm kroz vrata svijetle širine 990 mm, pravo po osi; najprije agregat, zatim spremnik; ponuđač bira način unosa i dužan je u ponudi potvrditi izvodljivost
 - SERVISNI PROSTOR (prema crtežu H-04): os agregata SZ–JI u sredini kontejnera; slobodan prostor: jugozapadna (JZ) strana 0,78 m, sjeveroistočna (SI) strana 0,78 m, kraj prema SZ 0,97 m do čela GRO; od vrata do korita spremnika 0,95 m slobodno. Sa JUGOISTOČNE (JI) strane je hladnjak, koji preko plenuma od 0,12 m izduvava kroz postojeće otvore klima-uređaja Stulz u sredini JI zida, u haubu koja topli zrak usmjerava naviše (Tačke 4.5 i 4.6) i ne servisira se s te strane. Ponuđač potvrđuje da su servisna mjesta agregata dostupna sa JZ i SI strane i sa SZ kraja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SJEVERNI ugao kontejnera (uz SZ i SI zid), prema crtežu H-04 — prihvatno korito 1150 × 640 mm uz SZ i SI zid; izduvni cjevovod je na jugozapadnoj strani agregata
 - odušna cijev izvedena IZVAN kontejnera kroz SZ zid, sjeveroistočno od vrata, do stojeće cijevi između kontejnera i SZ ograde (završetak +2,80 m) — principijelno prema H-04, konačno prema elaboratu zaštite od požara; najmanje 3 m od završetka izduva i od usisa zraka;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PLENUM od prirubnice hladnjaka do POSTOJEĆIH OTVORA demontiranog klima-uređaja Stulz (Tačka 5.15) u sredini JUGOISTOČNOG (JI) zida kontejnera, sa prirubnicama, fleksibilnim spojem prema hladnjaku (Tačka 4.4) i brtvljenjem; razvijena površina ≈1,5 m². Stvarnu mjeru uzeti na licu mjesta prema ponuđenom agregatu.
RASPORED (OBAVEZNO, prema crtežu H-04): kanal se vodi najkraćim putem od radijatora do postojećih otvora klima-uređaja Stulz u sredini JUGOISTOČNOG (JI) zida kontejnera, u kojima se ugrađuje izlazna žaluzina iz Tačke 4.6.</t>
        </is>
      </c>
      <c r="C20" s="128" t="inlineStr">
        <is>
          <t>kpl</t>
        </is>
      </c>
      <c r="D20" s="128" t="n">
        <v>1</v>
      </c>
      <c r="E20" s="131" t="n"/>
      <c r="F20" s="131">
        <f>IF(AND(D20&lt;&gt;"",E20&lt;&gt;""),D20*E20,"")</f>
        <v/>
      </c>
    </row>
    <row r="21" s="92">
      <c r="A21" s="128" t="inlineStr">
        <is>
          <t>4.6</t>
        </is>
      </c>
      <c r="B21" s="161" t="inlineStr">
        <is>
          <t>Prilagođenje postojećih otvora demontiranog klima-uređaja Stulz (Tačka 5.15) u sredini JUGOISTOČNOG (JI) zida kontejnera za izlaz toplog zraka sa hladnjaka agregata: spajanje i/ili proširenje otvora na žaluzinu bruto površine ≥0,36 m² (npr. 600 × 600 mm), sa ojačanim okvirom u zidnom panelu; isporuka i montaža fiksne žaluzine na kraju kanala za odvod toplog zraka, sa zaštitnom mrežicom protiv insekata i ptica, komplet sa montažnim materijalom; vani hauba 700 × 600 mm od pocinčanog lima, zatvorenih bočnih strana i dna, sa rešetkom na vrhu (≈+1,30 m) — topli zrak se usmjerava NAVIŠE, ne prema FN polju; hauba najmanje 1,0 m od nogu stuba; neiskorišteni dio postojećih otvora zatvoriti sendvič panelom d=60 mm istovjetnim zidu kontejnera, sa brtvljenjem.
RASPORED (OBAVEZNO, prema crtežu H-04): žaluzina se ugrađuje u JUGOISTOČNI (JI) zid kontejnera, na mjestu postojećih otvora klima-uređaja Stulz u sredini zida, sa haubom koja topli zrak usmjerava naviše. Topli zrak i izduv se NE smiju izbacivati prema SJEVEROZAPADNOJ (SZ) strani, gdje su ulazna vrata kontejnera, prema JUGOZAPADNOJ (JZ) strani, gdje su vanjski ormari ICC360-HA1-C1 i MTS i FN polje, niti prema usisu svježeg zraka na SJEVEROISTOČNOM (SI) zidu (Tačka 4.7).</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H-04): žaluzina se ugrađuje u SJEVEROISTOČNI (SI) zid kontejnera, uz alternator (sjeverozapadni kraj agregata), jugoistočno od korita spremnika, sa donjom ivicom na cca 0,30 m od poda; sjeveroistočna strana je zasjenjena veći dio dana. Prostorna udaljenost od izduva i od odušne cijevi spremnika ≥3 m (H-04: ≥3,2 m do završetka izduva i do oduška spremnika).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izvlačnog — izbacuje zrak iz prostora,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H-04): ventilator se ugrađuje u JUGOISTOČNI (JI) zid kontejnera, u gornjoj zoni, sjeveroistočno od haube (Tačka 4.6).</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HORIZONTALNO kroz JUGOISTOČNI (JI) zid kontejnera, iz jugozapadnog (JZ) prolaza, zapadno od haube, na visini ≈+2,30 m, usmjereno prema jugoistoku, sa kapom protiv upada padavina. Prodor kroz zid izvesti sa termički izolovanom zaštitnom čahurom. Na kraju izduvne cijevi postaviti HVATAČ ISKRI. Dužine: od elastičnog umetka do prigušivača, sa jednim lukom 90°, 1 m; od prigušivača do izlaza kroz JI zid, do 4 m. Komplet sa elastičnim umetkom, lukovima i montažnim materijalom.
TRASA: fleksibilni spoj neposredno iza motora, prigušivač u jugozapadnom (JZ) prolazu, horizontalni izlaz kroz JUGOISTOČNI (JI) zid kontejnera na ≈+2,30 m, zapadno od haube, sa završetkom ≥0,40 m od zida — dalje od FN polja, ormara i ulaznih vrata, sa hvatačem iskri. Završetak iznad krova NIJE moguć: platforma antenskog stuba na +3,0 m nalazi se iznad krova kontejnera.
NO 50: sa agregatom 18 kVA protok izduvnih gasova je 192 m³/h pri 413 °C, brzina 27,2 m/s (ispod uobičajenih 30 m/s), protutlak ≈1,6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iz Tačke 4.10 (≈1 m do prigušivača u JZ prolazu, zatim ≈2 m do JI zida) i vanjski prečnik izolacije ≈165 mm razvijena površina je ≈2,5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10 m1 i krak uzemljivačke trake do nosača, ukupno do 20 m1. Obračun po ostvarenom m1.</t>
        </is>
      </c>
      <c r="C39" s="128" t="inlineStr">
        <is>
          <t>m1</t>
        </is>
      </c>
      <c r="D39" s="128" t="n">
        <v>20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10,00 m</t>
        </is>
      </c>
      <c r="C40" s="128" t="inlineStr">
        <is>
          <t>m</t>
        </is>
      </c>
      <c r="D40" s="128" t="n">
        <v>30</v>
      </c>
      <c r="E40" s="131" t="n"/>
      <c r="F40" s="131">
        <f>IF(AND(D40&lt;&gt;"",E40&lt;&gt;""),D40*E40,"")</f>
        <v/>
      </c>
    </row>
    <row r="41" s="92">
      <c r="A41" s="128" t="inlineStr">
        <is>
          <t>5.3</t>
        </is>
      </c>
      <c r="B41" s="161" t="inlineStr">
        <is>
          <t>Isporuka i polaganje vruće pocinčane uzemljivačke trake Fe/Zn 25×4 mm (presjek min. 100 mm², debljina min. 2,5 mm), na dubini od 1,00 m radi mehaničke zaštite i zaštite od smrzavanja tla (jedan opis za obje lokacije); tlo je krš, stijena blizu površine, pa iskop može biti u stijeni, sa svim radovima na povezivanju na postojeći prstenasti uzemljivač radi izjednačenja potencijala.</t>
        </is>
      </c>
      <c r="C41" s="128" t="inlineStr">
        <is>
          <t>m</t>
        </is>
      </c>
      <c r="D41" s="128" t="n">
        <v>30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ormari Huawei ICC360-HA1-C1 i MTS stoje na ploči na JZ strani, iza FN polja (principijelno), a veza sa GRO vodi ≈3–5 m kroz JZ zid kontejnera:
 - energetski kabl dužine ≈3–5 m, tip NYY-J 5×6 mm²
 - signalni kabl dužine ≈3–5 m, tip J-Y(ST)Y 4×2×0,6 mm²
 - komunikacioni Ethernet kabl dužine ≈3–5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za SZ zid jugozapadno od ulaznih vrata (širina zida 0,595 m), širine ≤0,50 m — orijentacionih dimenzija npr. 0,50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(rešetkasti antenski stub h=32 m, platforme na +3,0 / +12,0 / +30,0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prepreke) antenskog stuba NE napaja se iz GRO: priključuje se na DC razvod −48 V iz Tačke 5.16, svjetiljka prema Tački 5.17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rešetkasti antenski stub h=32 m (platforme na +3,0 / +12,0 / +30,0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20 m iznosi 0,62 %. 2 stringa × 2 × 20,00 m</t>
        </is>
      </c>
      <c r="C50" s="128" t="inlineStr">
        <is>
          <t>m</t>
        </is>
      </c>
      <c r="D50" s="128" t="n">
        <v>80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H-05), zbog dužine DC trase od ≈20 m u jednom smjeru.</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5.15</t>
        </is>
      </c>
      <c r="B53" s="161" t="inlineStr">
        <is>
          <t>Odspajanje (230 V AC, 48 V DC, signalizacija) i demontaža postojećeg kompaktnog zidnog klima-uređaja Stulz WDE80 (8 kW) na JUGOISTOČNOM (JI) zidu kontejnera, u sredini, BEZ otvaranja rashladnog kruga; pakovanje, utovar i transport u skladište BH Telecom d.d. na Alipašinom Polju, Sarajevo, istovar i zapisnik o primopredaji (tip, serijski broj, stanje). Otvori u zidu ostaju i koriste se za izlaz toplog zraka agregata (Tačka 4.6).</t>
        </is>
      </c>
      <c r="C53" s="128" t="inlineStr">
        <is>
          <t>kpl</t>
        </is>
      </c>
      <c r="D53" s="128" t="n">
        <v>1</v>
      </c>
      <c r="E53" s="131" t="n"/>
      <c r="F53" s="131">
        <f>IF(AND(D53&lt;&gt;"",E53&lt;&gt;""),D53*E53,"")</f>
        <v/>
      </c>
    </row>
    <row r="54" s="92">
      <c r="A54" s="128" t="inlineStr">
        <is>
          <t>5.16</t>
        </is>
      </c>
      <c r="B54"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4" s="128" t="inlineStr">
        <is>
          <t>kpl</t>
        </is>
      </c>
      <c r="D54" s="128" t="n">
        <v>1</v>
      </c>
      <c r="E54" s="131" t="n"/>
      <c r="F54" s="131">
        <f>IF(AND(D54&lt;&gt;"",E54&lt;&gt;""),D54*E54,"")</f>
        <v/>
      </c>
    </row>
    <row r="55" s="92">
      <c r="A55" s="128" t="inlineStr">
        <is>
          <t>5.17</t>
        </is>
      </c>
      <c r="B55"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5" s="128" t="inlineStr">
        <is>
          <t>kpl</t>
        </is>
      </c>
      <c r="D55" s="128" t="n">
        <v>1</v>
      </c>
      <c r="E55" s="131" t="n"/>
      <c r="F55" s="131">
        <f>IF(AND(D55&lt;&gt;"",E55&lt;&gt;""),D55*E55,"")</f>
        <v/>
      </c>
    </row>
    <row r="56" s="92">
      <c r="A56" s="128" t="inlineStr">
        <is>
          <t>5.18</t>
        </is>
      </c>
      <c r="B56"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6" s="128" t="inlineStr">
        <is>
          <t>kpl</t>
        </is>
      </c>
      <c r="D56" s="128" t="n">
        <v>1</v>
      </c>
      <c r="E56" s="131" t="n"/>
      <c r="F56" s="131">
        <f>IF(AND(D56&lt;&gt;"",E56&lt;&gt;""),D56*E56,"")</f>
        <v/>
      </c>
    </row>
    <row r="57" s="92">
      <c r="A57" s="128" t="inlineStr">
        <is>
          <t>5.19</t>
        </is>
      </c>
      <c r="B57"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7" s="128" t="inlineStr">
        <is>
          <t>kpl</t>
        </is>
      </c>
      <c r="D57" s="128" t="n">
        <v>1</v>
      </c>
      <c r="E57" s="131" t="n"/>
      <c r="F57" s="131">
        <f>IF(AND(D57&lt;&gt;"",E57&lt;&gt;""),D57*E57,"")</f>
        <v/>
      </c>
    </row>
    <row r="58" s="92">
      <c r="A58" s="135" t="n"/>
      <c r="B58" s="167" t="inlineStr">
        <is>
          <t>UKUPNO 5 — ELEKTROMONTAŽNI RADOVI:</t>
        </is>
      </c>
      <c r="C58" s="168" t="n"/>
      <c r="D58" s="168" t="n"/>
      <c r="E58" s="137" t="n"/>
      <c r="F58" s="138">
        <f>SUM(F39:F57)</f>
        <v/>
      </c>
    </row>
    <row r="59"/>
    <row r="60" s="92">
      <c r="A60" s="125" t="inlineStr">
        <is>
          <t>6</t>
        </is>
      </c>
      <c r="B60" s="159" t="inlineStr">
        <is>
          <t>PUŠTANJE U RAD, OBUKA I DOKUMENTACIJA (DO POTPUNE GOTOVOSTI)</t>
        </is>
      </c>
      <c r="C60" s="160" t="n"/>
      <c r="D60" s="160" t="n"/>
      <c r="E60" s="127" t="n"/>
      <c r="F60" s="127" t="n"/>
    </row>
    <row r="61" s="92">
      <c r="A61" s="162" t="n"/>
      <c r="B61" s="169" t="n"/>
      <c r="C61" s="168" t="n"/>
      <c r="D61" s="168" t="n"/>
      <c r="E61" s="137" t="n"/>
      <c r="F61" s="162" t="n"/>
    </row>
    <row r="62" s="92">
      <c r="A62" s="128" t="inlineStr">
        <is>
          <t>6.1</t>
        </is>
      </c>
      <c r="B62" s="161" t="inlineStr">
        <is>
          <t>Puštanje u rad kompletnog sistema, funkcionalno testiranje automatskog starta DEA po kriteriju stanja baterija, testiranje prelaska izvora i 72-satni probni rad sa zapisom parametara.</t>
        </is>
      </c>
      <c r="C62" s="128" t="inlineStr">
        <is>
          <t>kpl</t>
        </is>
      </c>
      <c r="D62" s="128" t="n">
        <v>1</v>
      </c>
      <c r="E62" s="131" t="n"/>
      <c r="F62" s="131">
        <f>IF(AND(D62&lt;&gt;"",E62&lt;&gt;""),D62*E62,"")</f>
        <v/>
      </c>
    </row>
    <row r="63" s="92">
      <c r="A63" s="128" t="inlineStr">
        <is>
          <t>6.2</t>
        </is>
      </c>
      <c r="B63"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3" s="128" t="inlineStr">
        <is>
          <t>kpl</t>
        </is>
      </c>
      <c r="D63" s="128" t="n">
        <v>1</v>
      </c>
      <c r="E63" s="131" t="n"/>
      <c r="F63" s="131">
        <f>IF(AND(D63&lt;&gt;"",E63&lt;&gt;""),D63*E63,"")</f>
        <v/>
      </c>
    </row>
    <row r="64" s="92">
      <c r="A64" s="128" t="inlineStr">
        <is>
          <t>6.3</t>
        </is>
      </c>
      <c r="B64" s="161" t="inlineStr">
        <is>
          <t>Obuka osoblja Investitora (do 4 osobe) za rukovanje i osnovno održavanje sistema, u trajanju od min. 1 radnog dana.</t>
        </is>
      </c>
      <c r="C64" s="128" t="inlineStr">
        <is>
          <t>kpl</t>
        </is>
      </c>
      <c r="D64" s="128" t="n">
        <v>1</v>
      </c>
      <c r="E64" s="131" t="n"/>
      <c r="F64" s="131">
        <f>IF(AND(D64&lt;&gt;"",E64&lt;&gt;""),D64*E64,"")</f>
        <v/>
      </c>
    </row>
    <row r="65" s="92">
      <c r="A65" s="128" t="inlineStr">
        <is>
          <t>6.4</t>
        </is>
      </c>
      <c r="B65" s="161" t="inlineStr">
        <is>
          <t>Izrada dokumentacije izvedenog stanja za kompletan LOT 2 (elektro, mašinski i građevinski dio), u 3 štampana primjerka i u elektronskoj formi (PDF + izvorni DWG/DOCX).</t>
        </is>
      </c>
      <c r="C65" s="128" t="inlineStr">
        <is>
          <t>kpl</t>
        </is>
      </c>
      <c r="D65" s="128" t="n">
        <v>1</v>
      </c>
      <c r="E65" s="131" t="n"/>
      <c r="F65" s="131">
        <f>IF(AND(D65&lt;&gt;"",E65&lt;&gt;""),D65*E65,"")</f>
        <v/>
      </c>
    </row>
    <row r="66" s="92">
      <c r="A66" s="135" t="n"/>
      <c r="B66" s="167" t="inlineStr">
        <is>
          <t>UKUPNO 6 — PUŠTANJE U RAD, OBUKA I DOKUMENTACIJA:</t>
        </is>
      </c>
      <c r="C66" s="168" t="n"/>
      <c r="D66" s="168" t="n"/>
      <c r="E66" s="137" t="n"/>
      <c r="F66" s="138">
        <f>SUM(F62:F65)</f>
        <v/>
      </c>
    </row>
    <row r="67"/>
    <row r="68" s="92">
      <c r="A68" s="170" t="n"/>
      <c r="B68" s="171" t="inlineStr">
        <is>
          <t>UKUPNO LOT 2 — BS HAMZIĆI (bez PDV-a):</t>
        </is>
      </c>
      <c r="C68" s="168" t="n"/>
      <c r="D68" s="168" t="n"/>
      <c r="E68" s="137" t="n"/>
      <c r="F68" s="172">
        <f>F36+F58+F66</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9"/>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2" min="1" max="1"/>
    <col width="80.59999999999999" customWidth="1" style="92" min="2" max="2"/>
    <col width="6.3" customWidth="1" style="92" min="3" max="3"/>
    <col width="4.17" customWidth="1" style="92" min="4" max="4"/>
    <col width="12.42" customWidth="1" style="92" min="5" max="5"/>
    <col width="14.29" customWidth="1" style="92" min="6" max="6"/>
  </cols>
  <sheetData>
    <row r="1" s="92">
      <c r="A1" s="93" t="inlineStr">
        <is>
          <t>PRILOG II TD</t>
        </is>
      </c>
    </row>
    <row r="2" s="92">
      <c r="A2" s="94" t="inlineStr">
        <is>
          <t>OBRAZAC ZA CIJENU PONUDE - LOT 2 - REKAPITULACIJA</t>
        </is>
      </c>
    </row>
    <row r="3" ht="30" customHeight="1" s="92">
      <c r="A3" s="181" t="inlineStr">
        <is>
          <t>INFRASTRUKTURA I INSTALACIJA OPREME ZA AUTONOMNI HIBRIDNI SISTEM NAPAJANJA
BS SJEDNICA I BS HAMZIĆI (LOT 1 i 2)</t>
        </is>
      </c>
    </row>
    <row r="4"/>
    <row r="5" s="92">
      <c r="B5" s="148" t="inlineStr">
        <is>
          <t>Naziv Ponuđača:       __________________________________</t>
        </is>
      </c>
    </row>
    <row r="6" s="92">
      <c r="B6" s="148" t="inlineStr">
        <is>
          <t>Ponuda br.:              __________________________________</t>
        </is>
      </c>
    </row>
    <row r="7"/>
    <row r="8" ht="15" customHeight="1" s="92">
      <c r="B8" t="inlineStr">
        <is>
          <t>REKAPITULACIJA</t>
        </is>
      </c>
    </row>
    <row r="9" s="92">
      <c r="A9" s="125" t="n"/>
      <c r="B9" s="159" t="inlineStr">
        <is>
          <t>LOT 2 - INSTALACIJA AGREGATSKOG POSTROJENJA ZA HIBRIDNI SISTEM NAPAJANJA</t>
        </is>
      </c>
      <c r="C9" s="160" t="n"/>
      <c r="D9" s="160" t="n"/>
      <c r="E9" s="127" t="n"/>
      <c r="F9" s="127" t="n"/>
    </row>
    <row r="10" s="92">
      <c r="A10" s="170" t="n"/>
      <c r="B10" s="161" t="inlineStr">
        <is>
          <t>BS Sjednica (Bileća) — LOT 2 bez PDV-a [KM]:</t>
        </is>
      </c>
      <c r="C10" s="168" t="n"/>
      <c r="D10" s="168" t="n"/>
      <c r="E10" s="137" t="n"/>
      <c r="F10" s="172">
        <f>'LOT 2 Sjednica'!F67</f>
        <v/>
      </c>
    </row>
    <row r="11" s="92">
      <c r="A11" s="170" t="n"/>
      <c r="B11" s="161" t="inlineStr">
        <is>
          <t>BS Hamzići (Čitluk) — LOT 2 bez PDV-a [KM]:</t>
        </is>
      </c>
      <c r="C11" s="168" t="n"/>
      <c r="D11" s="168" t="n"/>
      <c r="E11" s="137" t="n"/>
      <c r="F11" s="172">
        <f>'LOT 2 Hamzići'!F68</f>
        <v/>
      </c>
    </row>
    <row r="12" ht="15" customHeight="1" s="92">
      <c r="A12" s="173" t="n"/>
      <c r="B12" s="174" t="inlineStr">
        <is>
          <t>UKUPNO LOT 2 (BS Sjednica + BS Hamzići) bez PDV-a [KM]:</t>
        </is>
      </c>
      <c r="C12" s="168" t="n"/>
      <c r="D12" s="168" t="n"/>
      <c r="E12" s="137" t="n"/>
      <c r="F12" s="137">
        <f>SUM(F10:F11)</f>
        <v/>
      </c>
    </row>
    <row r="13" ht="15" customHeight="1" s="92">
      <c r="A13" s="173" t="n"/>
      <c r="B13" s="174" t="inlineStr">
        <is>
          <t>Popust [%]:</t>
        </is>
      </c>
      <c r="C13" s="168" t="n"/>
      <c r="D13" s="168" t="n"/>
      <c r="E13" s="137" t="n"/>
      <c r="F13" s="172" t="n"/>
    </row>
    <row r="14" ht="15" customHeight="1" s="92">
      <c r="A14" s="173" t="n"/>
      <c r="B14" s="174" t="inlineStr">
        <is>
          <t>UKUPNO LOT 2 sa popustom bez PDV-a [KM]:</t>
        </is>
      </c>
      <c r="C14" s="168" t="n"/>
      <c r="D14" s="168" t="n"/>
      <c r="E14" s="137" t="n"/>
      <c r="F14" s="137">
        <f>F12*(1-IF(F13="",0,F13/100))</f>
        <v/>
      </c>
    </row>
    <row r="15" ht="15" customHeight="1" s="92">
      <c r="A15" s="173" t="n"/>
      <c r="B15" s="174" t="inlineStr">
        <is>
          <t>Iznos PDV-a (17 %) [KM]:</t>
        </is>
      </c>
      <c r="C15" s="168" t="n"/>
      <c r="D15" s="168" t="n"/>
      <c r="E15" s="137" t="n"/>
      <c r="F15" s="137">
        <f>F14*0.17</f>
        <v/>
      </c>
    </row>
    <row r="16" ht="15" customHeight="1" s="92">
      <c r="A16" s="173" t="n"/>
      <c r="B16" s="174" t="inlineStr">
        <is>
          <t>UKUPNO LOT 2 sa popustom i PDV-om [KM]:</t>
        </is>
      </c>
      <c r="C16" s="168" t="n"/>
      <c r="D16" s="168" t="n"/>
      <c r="E16" s="137" t="n"/>
      <c r="F16" s="137">
        <f>F14+F15</f>
        <v/>
      </c>
    </row>
    <row r="17"/>
    <row r="18" s="92">
      <c r="A18" s="176" t="n"/>
      <c r="B18" s="177" t="inlineStr">
        <is>
          <t>NAPOMENA:</t>
        </is>
      </c>
    </row>
    <row r="19" s="92">
      <c r="A19" s="178" t="n"/>
      <c r="B19" s="179" t="inlineStr">
        <is>
          <t>- Nabavka je podijeljena na dva LOT-a prema vrsti radova: LOT 1 — konstrukcija nosača za fotonaponske panele, LOT 2 — agregatsko postrojenje (DEA) u postojećem kontejneru. Svaki LOT obuhvata OBJE lokacije: BS Sjednica (Bileća) i BS Hamzići (Čitluk). Ponuđač može dostaviti ponudu za JEDAN ili OBA LOT-a. Ugovor se dodjeljuje po LOT-u, prema kriteriju najniže cijene tehnički zadovoljavajuće ponude.</t>
        </is>
      </c>
    </row>
    <row r="20" s="92">
      <c r="A20" s="178" t="n"/>
      <c r="B20" s="179" t="inlineStr">
        <is>
          <t>- Ovaj obrazac se odnosi na LOT 2. Za drugi LOT popunjava se, potpisuje i ovjerava zaseban obrazac; ponuđač koji ne pristupa drugom LOT-u ne dostavlja njegov obrazac.</t>
        </is>
      </c>
    </row>
    <row r="21" s="92">
      <c r="A21" s="178" t="n"/>
      <c r="B21" s="179" t="inlineStr">
        <is>
          <t>- Cijene se upisuju posebno za svaku lokaciju, na listovima „LOT 2 Sjednica“ i „LOT 2 Hamzići“; iznosi se automatski prenose u ovu rekapitulaciju.</t>
        </is>
      </c>
    </row>
    <row r="22" s="92">
      <c r="A22" s="178" t="n"/>
      <c r="B22" s="179" t="inlineStr">
        <is>
          <t>- Ugovorne obaveze nastaju po upućivanju pismenog zahtjeva/narudžbe od strane BH Telecom-a.</t>
        </is>
      </c>
    </row>
    <row r="23" s="92">
      <c r="A23" s="178" t="n"/>
      <c r="B23" s="179" t="inlineStr">
        <is>
          <t>- Količine u Tačkama 2. i 5. su orijentacione, posebno za svaku lokaciju, i utvrđene na osnovu podataka iz RFI dokumentacije. Konačne količine utvrđuju se elaboratom montaže i geodetskim snimkom, a obračunavaju se po stvarno izvedenim količinama.</t>
        </is>
      </c>
    </row>
    <row r="24" s="92">
      <c r="A24" s="178" t="n"/>
      <c r="B24" s="179" t="inlineStr">
        <is>
          <t>- LOT 2 obuhvata montažu i uvezivanje sistema DO POTPUNE GOTOVOSTI, na obje lokacije.</t>
        </is>
      </c>
    </row>
    <row r="25" s="92">
      <c r="A25" s="178" t="n"/>
      <c r="B25" s="179" t="inlineStr">
        <is>
          <t>- Grafički prilozi za obje lokacije (situacija postojećeg i budućeg stanja, presjek, dispozicija opreme) dati su u PRILOGU III tenderske dokumentacije.</t>
        </is>
      </c>
    </row>
    <row r="26"/>
    <row r="27" ht="15" customHeight="1" s="92">
      <c r="B27" s="148" t="inlineStr">
        <is>
          <t>Datum:  ___________________________</t>
        </is>
      </c>
    </row>
    <row r="28"/>
    <row r="29" ht="15" customHeight="1" s="92">
      <c r="B29" s="182" t="inlineStr">
        <is>
          <t>Potpis i pečat Ponuđača:  ___________________________</t>
        </is>
      </c>
    </row>
  </sheetData>
  <mergeCells count="2">
    <mergeCell ref="A3:F3"/>
    <mergeCell ref="A2:F2"/>
  </mergeCells>
  <printOptions horizontalCentered="0" verticalCentered="0" headings="0" gridLines="0" gridLinesSet="1"/>
  <pageMargins left="0.7" right="0.7" top="0.75" bottom="0.75" header="0.3" footer="0.511811023622047"/>
  <pageSetup orientation="portrait" paperSize="9" fitToHeight="0" fitToWidth="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en-GB</dc:language>
  <dcterms:created xmlns:dcterms="http://purl.org/dc/terms/" xmlns:xsi="http://www.w3.org/2001/XMLSchema-instance" xsi:type="dcterms:W3CDTF">2026-08-06T15:05:01Z</dcterms:created>
  <dcterms:modified xmlns:dcterms="http://purl.org/dc/terms/" xmlns:xsi="http://www.w3.org/2001/XMLSchema-instance" xsi:type="dcterms:W3CDTF">2026-09-14T07:11:02Z</dcterms:modified>
  <cp:revision>6</cp:revision>
  <cp:keywords xml:space="preserve"> [BH Telecom | Interno]</cp:keywords>
</cp:coreProperties>
</file>

<file path=docProps/custom.xml><?xml version="1.0" encoding="utf-8"?>
<Properties xmlns="http://schemas.openxmlformats.org/officeDocument/2006/custom-properties">
  <property name="bjClsUserRVM" fmtid="{D5CDD505-2E9C-101B-9397-08002B2CF9AE}" pid="2">
    <vt:lpwstr xmlns:vt="http://schemas.openxmlformats.org/officeDocument/2006/docPropsVTypes">[]</vt:lpwstr>
  </property>
  <property name="bjDocumentLabelXML" fmtid="{D5CDD505-2E9C-101B-9397-08002B2CF9AE}" pid="3">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 xmlns:vt="http://schemas.openxmlformats.org/officeDocument/2006/docPropsVTypes">ames.com/2008/01/sie/internal/label"&gt;&lt;element uid="id_classification_generalbusiness" value="" /&gt;&lt;/sisl&gt;</vt:lpwstr>
  </property>
  <property name="bjDocumentSecurityLabel" fmtid="{D5CDD505-2E9C-101B-9397-08002B2CF9AE}" pid="5">
    <vt:lpwstr xmlns:vt="http://schemas.openxmlformats.org/officeDocument/2006/docPropsVTypes">Interno</vt:lpwstr>
  </property>
  <property name="bjLabelHistoryID" fmtid="{D5CDD505-2E9C-101B-9397-08002B2CF9AE}" pid="6">
    <vt:lpwstr xmlns:vt="http://schemas.openxmlformats.org/officeDocument/2006/docPropsVTypes">{740AF07F-B5FD-4336-9AA5-5B70F58EC679}</vt:lpwstr>
  </property>
  <property name="bjRightHeaderLabel" fmtid="{D5CDD505-2E9C-101B-9397-08002B2CF9AE}" pid="7">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8">
    <vt:lpwstr xmlns:vt="http://schemas.openxmlformats.org/officeDocument/2006/docPropsVTypes">&amp;"Times New Roman,Regular"&amp;12&amp;K000000 &amp;"Arial,Regular"&amp;10&amp;K000000[BH Telecom | &amp;B&amp;K000000Interno&amp;B&amp;K000000]</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Saver" fmtid="{D5CDD505-2E9C-101B-9397-08002B2CF9AE}" pid="10">
    <vt:lpwstr xmlns:vt="http://schemas.openxmlformats.org/officeDocument/2006/docPropsVTypes">PBKzKNjp5eaEU3tBjVgEWI+fS8Y9fUcj</vt:lpwstr>
  </property>
  <property name="docIndexRef" fmtid="{D5CDD505-2E9C-101B-9397-08002B2CF9AE}" pid="11">
    <vt:lpwstr xmlns:vt="http://schemas.openxmlformats.org/officeDocument/2006/docPropsVTypes">8fb2bdcd-5e0f-4d13-acfc-f618c7274118</vt:lpwstr>
  </property>
</Properties>
</file>