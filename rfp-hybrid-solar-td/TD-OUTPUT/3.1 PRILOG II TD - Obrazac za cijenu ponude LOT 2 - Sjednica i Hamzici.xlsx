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OT 2 Sjednica" sheetId="1" state="visible" r:id="rId1"/>
    <sheet xmlns:r="http://schemas.openxmlformats.org/officeDocument/2006/relationships" name="LOT 2 Hamzići" sheetId="2" state="visible" r:id="rId2"/>
    <sheet xmlns:r="http://schemas.openxmlformats.org/officeDocument/2006/relationships" name="REKAPITULACIJA LOT 2" sheetId="3" state="visible" r:id="rId3"/>
  </sheets>
  <definedNames>
    <definedName name="_xlnm.Print_Titles" localSheetId="0">'LOT 2 Sjednica'!$8:$9</definedName>
    <definedName name="_xlnm.Print_Area" localSheetId="0">'LOT 2 Sjednica'!$A$1:$F$66</definedName>
    <definedName name="_xlnm.Print_Titles" localSheetId="1">'LOT 2 Hamzići'!$8:$9</definedName>
    <definedName name="_xlnm.Print_Area" localSheetId="1">'LOT 2 Hamzići'!$A$1:$F$67</definedName>
    <definedName name="_xlnm.Print_Area" localSheetId="2">'REKAPITULACIJA LOT 2'!$A$1:$F$29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quot; KM&quot;"/>
  </numFmts>
  <fonts count="21">
    <font>
      <name val="Calibri"/>
      <charset val="1"/>
      <family val="2"/>
      <color theme="1"/>
      <sz val="11"/>
    </font>
    <font>
      <name val="Arial"/>
      <family val="0"/>
      <sz val="10"/>
    </font>
    <font>
      <name val="Arial"/>
      <family val="0"/>
      <sz val="10"/>
    </font>
    <font>
      <name val="Arial"/>
      <family val="0"/>
      <sz val="10"/>
    </font>
    <font>
      <name val="Arial"/>
      <charset val="238"/>
      <family val="2"/>
      <b val="1"/>
      <sz val="11"/>
    </font>
    <font>
      <name val="Arial"/>
      <charset val="238"/>
      <family val="2"/>
      <sz val="11"/>
    </font>
    <font>
      <name val="Arial"/>
      <charset val="1"/>
      <family val="0"/>
      <i val="1"/>
      <sz val="9"/>
    </font>
    <font>
      <name val="Arial"/>
      <charset val="1"/>
      <family val="0"/>
      <b val="1"/>
      <sz val="9"/>
    </font>
    <font>
      <name val="Arial"/>
      <charset val="1"/>
      <family val="0"/>
      <b val="1"/>
      <sz val="10"/>
    </font>
    <font>
      <name val="Arial"/>
      <charset val="1"/>
      <family val="0"/>
      <sz val="9"/>
    </font>
    <font>
      <name val="Arial"/>
      <charset val="238"/>
      <family val="2"/>
      <sz val="9"/>
    </font>
    <font>
      <name val="Arial"/>
      <charset val="238"/>
      <family val="2"/>
      <b val="1"/>
      <sz val="10"/>
    </font>
    <font>
      <name val="Cambria"/>
      <charset val="1"/>
      <family val="0"/>
      <b val="1"/>
      <sz val="10"/>
    </font>
    <font>
      <name val="Cambria"/>
      <charset val="1"/>
      <family val="0"/>
      <sz val="10"/>
    </font>
    <font>
      <name val="Arial"/>
      <charset val="1"/>
      <family val="2"/>
      <color theme="1"/>
      <sz val="11"/>
    </font>
    <font>
      <name val="Arial"/>
      <charset val="1"/>
      <family val="2"/>
      <sz val="9"/>
    </font>
    <font>
      <name val="Arial"/>
      <charset val="1"/>
      <family val="2"/>
      <i val="1"/>
      <sz val="9"/>
    </font>
    <font>
      <name val="Arial"/>
      <charset val="1"/>
      <family val="2"/>
      <b val="1"/>
      <sz val="9"/>
    </font>
    <font>
      <name val="Arial"/>
      <charset val="1"/>
      <family val="2"/>
      <b val="1"/>
      <sz val="10"/>
    </font>
    <font>
      <name val="Arial"/>
      <charset val="1"/>
      <family val="2"/>
      <color theme="1"/>
      <sz val="9"/>
    </font>
    <font>
      <name val="Arial"/>
      <charset val="238"/>
      <family val="2"/>
      <b val="1"/>
      <sz val="9"/>
    </font>
  </fonts>
  <fills count="8">
    <fill>
      <patternFill/>
    </fill>
    <fill>
      <patternFill patternType="gray125"/>
    </fill>
    <fill>
      <patternFill patternType="solid">
        <fgColor rgb="FFE8E8E8"/>
        <bgColor rgb="FFEBF1DE"/>
      </patternFill>
    </fill>
    <fill>
      <patternFill patternType="solid">
        <fgColor theme="6" tint="0.7999000000000001"/>
        <bgColor rgb="FFE8E8E8"/>
      </patternFill>
    </fill>
    <fill>
      <patternFill patternType="solid">
        <fgColor rgb="FFFFFF00"/>
        <bgColor rgb="FFFFFF00"/>
      </patternFill>
    </fill>
    <fill>
      <patternFill patternType="solid">
        <fgColor rgb="FFD9D9D9"/>
        <bgColor rgb="FFE8E8E8"/>
      </patternFill>
    </fill>
    <fill>
      <patternFill patternType="solid">
        <fgColor rgb="FFDCEEDC"/>
        <bgColor rgb="FFEBF1DE"/>
      </patternFill>
    </fill>
    <fill>
      <patternFill patternType="solid">
        <fgColor rgb="FFF8DEDE"/>
        <bgColor rgb="FFE8E8E8"/>
      </patternFill>
    </fill>
  </fills>
  <borders count="24">
    <border>
      <left/>
      <right/>
      <top/>
      <bottom/>
      <diagonal/>
    </border>
    <border>
      <left style="thin"/>
      <right style="thin">
        <color rgb="FF808080"/>
      </right>
      <top style="thin"/>
      <bottom/>
      <diagonal/>
    </border>
    <border>
      <left style="thin">
        <color rgb="FF808080"/>
      </left>
      <right style="thin">
        <color rgb="FF808080"/>
      </right>
      <top style="thin"/>
      <bottom/>
      <diagonal/>
    </border>
    <border>
      <left style="thin">
        <color rgb="FF808080"/>
      </left>
      <right style="thin"/>
      <top style="thin"/>
      <bottom/>
      <diagonal/>
    </border>
    <border>
      <left style="thin"/>
      <right style="thin"/>
      <top style="thin"/>
      <bottom style="thin"/>
      <diagonal/>
    </border>
    <border>
      <left style="thin"/>
      <right/>
      <top style="thin"/>
      <bottom style="thin"/>
      <diagonal/>
    </border>
    <border>
      <left/>
      <right/>
      <top style="thin"/>
      <bottom style="thin"/>
      <diagonal/>
    </border>
    <border>
      <left/>
      <right style="thin"/>
      <top style="thin"/>
      <bottom style="thin"/>
      <diagonal/>
    </border>
    <border>
      <left style="thin"/>
      <right/>
      <top/>
      <bottom/>
      <diagonal/>
    </border>
    <border>
      <left style="thin"/>
      <right/>
      <top/>
      <bottom style="thin"/>
      <diagonal/>
    </border>
    <border>
      <left/>
      <right/>
      <top/>
      <bottom style="thin"/>
      <diagonal/>
    </border>
    <border>
      <left/>
      <right style="thin"/>
      <top/>
      <bottom style="thin"/>
      <diagonal/>
    </border>
    <border>
      <left style="thin"/>
      <right style="thin"/>
      <top style="thin"/>
      <bottom/>
      <diagonal/>
    </border>
    <border>
      <left style="thin"/>
      <right style="thin">
        <color rgb="FF808080"/>
      </right>
      <top style="thin"/>
      <bottom style="thin"/>
      <diagonal/>
    </border>
    <border>
      <left/>
      <right style="thin">
        <color rgb="FF808080"/>
      </right>
      <top style="thin"/>
      <bottom style="thin"/>
      <diagonal/>
    </border>
    <border>
      <left style="thin">
        <color rgb="FF808080"/>
      </left>
      <right style="thin"/>
      <top/>
      <bottom style="thin"/>
      <diagonal/>
    </border>
    <border>
      <left style="thin">
        <color rgb="FF808080"/>
      </left>
      <right style="thin">
        <color rgb="FF808080"/>
      </right>
      <top style="thin">
        <color rgb="FF808080"/>
      </top>
      <bottom style="thin">
        <color rgb="FF808080"/>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808080"/>
      </left>
      <right style="thin">
        <color rgb="FF808080"/>
      </right>
      <top style="thin"/>
      <bottom style="thin"/>
      <diagonal/>
    </border>
    <border>
      <left style="thin">
        <color rgb="FF808080"/>
      </left>
      <right style="thin"/>
      <top style="thin"/>
      <bottom style="thin"/>
      <diagonal/>
    </border>
    <border>
      <left style="thin">
        <color rgb="FF808080"/>
      </left>
      <right/>
      <top style="thin"/>
      <bottom style="thin">
        <color rgb="FF808080"/>
      </bottom>
      <diagonal/>
    </border>
    <border>
      <left/>
      <right/>
      <top style="thin"/>
      <bottom style="thin">
        <color rgb="FF808080"/>
      </bottom>
      <diagonal/>
    </border>
    <border>
      <left/>
      <right style="thin">
        <color rgb="FF808080"/>
      </right>
      <top style="thin"/>
      <bottom style="thin">
        <color rgb="FF80808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0" fillId="0" borderId="0"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xf numFmtId="0" fontId="4" fillId="0" borderId="0" applyAlignment="1" pivotButton="0" quotePrefix="0" xfId="0">
      <alignment horizontal="center" vertical="center" wrapText="1"/>
    </xf>
    <xf numFmtId="0" fontId="9" fillId="0" borderId="0" applyAlignment="1" pivotButton="0" quotePrefix="0" xfId="0">
      <alignment horizontal="right"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E8E8E8"/>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BF1DE"/>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CEEDC"/>
      <rgbColor rgb="FFFFFF99"/>
      <rgbColor rgb="FF99CCFF"/>
      <rgbColor rgb="FFFF99CC"/>
      <rgbColor rgb="FFCC99FF"/>
      <rgbColor rgb="FFF8DED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F66"/>
  <sheetViews>
    <sheetView tabSelected="1" zoomScale="150" zoomScaleNormal="150" workbookViewId="0">
      <selection activeCell="A1" sqref="A1"/>
    </sheetView>
  </sheetViews>
  <sheetFormatPr baseColWidth="8" defaultColWidth="11.53515625" defaultRowHeight="15" customHeight="0" zeroHeight="0" outlineLevelRow="0"/>
  <cols>
    <col width="4.73" customWidth="1" style="91" min="1" max="1"/>
    <col width="80.59999999999999" customWidth="1" style="146" min="2" max="2"/>
    <col width="6.3" customWidth="1" style="147" min="3" max="3"/>
    <col width="4.17" customWidth="1" style="147" min="4" max="4"/>
    <col width="12.42" customWidth="1" style="91" min="5" max="5"/>
    <col width="14.29" customWidth="1" style="91" min="6" max="6"/>
  </cols>
  <sheetData>
    <row r="1" s="92">
      <c r="A1" s="93" t="inlineStr">
        <is>
          <t>PRILOG II TD</t>
        </is>
      </c>
    </row>
    <row r="2" s="92">
      <c r="A2" s="94" t="inlineStr">
        <is>
          <t>OBRAZAC ZA CIJENU PONUDE - LOT 2 — BS SJEDNICA (BILEĆA)</t>
        </is>
      </c>
    </row>
    <row r="3" ht="30" customHeight="1" s="92">
      <c r="A3" s="181" t="inlineStr">
        <is>
          <t>INFRASTRUKTURA I INSTALACIJA OPREME ZA AUTONOMNI HIBRIDNI SISTEM NAPAJANJA
BS SJEDNICA I BS HAMZIĆI (LOT 2)</t>
        </is>
      </c>
    </row>
    <row r="4"/>
    <row r="5" s="92">
      <c r="B5" s="148" t="inlineStr">
        <is>
          <t>Naziv Ponuđača:       __________________________________</t>
        </is>
      </c>
    </row>
    <row r="6" s="92">
      <c r="B6" s="148" t="inlineStr">
        <is>
          <t>Ponuda br.:              __________________________________</t>
        </is>
      </c>
    </row>
    <row r="7"/>
    <row r="8" s="92">
      <c r="A8" s="96" t="inlineStr">
        <is>
          <t>1</t>
        </is>
      </c>
      <c r="B8" s="149" t="inlineStr">
        <is>
          <t>2</t>
        </is>
      </c>
      <c r="C8" s="98" t="inlineStr">
        <is>
          <t>3</t>
        </is>
      </c>
      <c r="D8" s="98" t="inlineStr">
        <is>
          <t>4</t>
        </is>
      </c>
      <c r="E8" s="98" t="inlineStr">
        <is>
          <t>5</t>
        </is>
      </c>
      <c r="F8" s="99" t="inlineStr">
        <is>
          <t>6</t>
        </is>
      </c>
    </row>
    <row r="9" s="92">
      <c r="A9" s="150" t="inlineStr">
        <is>
          <t>r.br.</t>
        </is>
      </c>
      <c r="B9" s="151" t="inlineStr">
        <is>
          <t>Opis stavke</t>
        </is>
      </c>
      <c r="C9" s="152" t="inlineStr">
        <is>
          <t>Jed. mjere</t>
        </is>
      </c>
      <c r="D9" s="152" t="inlineStr">
        <is>
          <t>Količina</t>
        </is>
      </c>
      <c r="E9" s="152" t="inlineStr">
        <is>
          <t>Jed. cijena u KM bez PDV-a</t>
        </is>
      </c>
      <c r="F9" s="153" t="inlineStr">
        <is>
          <t>Ukupna cijena u KM bez PDV-a  6=(4x5)</t>
        </is>
      </c>
    </row>
    <row r="10" s="92">
      <c r="A10" s="154" t="n"/>
      <c r="B10" s="155" t="inlineStr">
        <is>
          <t>LOT 2 - INSTALACIJA AGREGATSKOG POSTROJENJA ZA HIBRIDNI SISTEM NAPAJANJA</t>
        </is>
      </c>
      <c r="C10" s="156" t="n"/>
      <c r="D10" s="156" t="n"/>
      <c r="E10" s="157" t="n"/>
      <c r="F10" s="158" t="n"/>
    </row>
    <row r="11" s="92">
      <c r="A11" s="125" t="n">
        <v>1</v>
      </c>
      <c r="B11" s="159" t="inlineStr">
        <is>
          <t>AUTOMATSKI DIZEL ELEKTRIČNI AGREGAT (DEA) — TEHNIČKA SPECIFIKACIJA</t>
        </is>
      </c>
      <c r="C11" s="160" t="n"/>
      <c r="D11" s="160" t="n"/>
      <c r="E11" s="127" t="n"/>
      <c r="F11" s="127" t="n"/>
    </row>
    <row r="12" s="92">
      <c r="A12" s="128" t="inlineStr">
        <is>
          <t>3.1</t>
        </is>
      </c>
      <c r="B12" s="161" t="inlineStr">
        <is>
          <t>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preko 1000 m (lokacija 1076 m n.v.);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PREDGRIJAČ RASHLADNE TEČNOSTI na DC napajanje — direktno 48 V ili preko DC/DC pretvarača odgovarajuće snage, iz DC razvoda −48 V (Tačka 5.16); uključuje ga kontroler agregata samo za kratko predgrijavanje prije pokretanja, pri niskoj temperaturi, i nikada ne radi trajno (obavezno — zimski rad; Prilog I, Tačka 4.1).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izlaz kontrolera (relej) za uključivanje DC predgrijača rashladne tečnosti (napajanje iz DC razvoda, Tačka 5.16) prije svakog pokretanja, servisna utičnica 230 V AC, rasvjeta KOA.
KOMUTACIJA — LOKACIJA NIJE PRIKLJUČENA NA ELEKTROENERGETSKU MREŽU: ne predviđa se mrežni sklopnik niti izbor izvora „mreža"; komutacija se izvodi između agregata (položaj 1) i rezervnog izvora (položaj 2, npr. mobilni agregat).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(≈82 % derativane prime snage na 1076 m n.v. i +40 °C, koja iznosi 11,6 kW). Neograničen ispravljački sistem vuče ≈12,5 kW i premašuje raspoloživu snagu. Granica ujedno drži agregat iznad 30 % opterećenja i sprječava mokri rad motora.
OSTALA OPREMA: start baterija 12 V / 70 Ah; punjač start baterije 12 V / 5 A, napajan iz DC razvoda −48 V preko DC/DC pretvarača iz Tačke 5.18 (ne sa 230 V — AC napon postoji samo dok agregat radi), programabilni, sa dojavom kvara, uvezan sa kontrolerom.</t>
        </is>
      </c>
      <c r="C12" s="128" t="n"/>
      <c r="D12" s="128" t="n"/>
      <c r="E12" s="131" t="n"/>
      <c r="F12" s="131" t="n"/>
    </row>
    <row r="13"/>
    <row r="14" s="92">
      <c r="A14" s="125" t="inlineStr">
        <is>
          <t>4</t>
        </is>
      </c>
      <c r="B14" s="159" t="inlineStr">
        <is>
          <t>AGREGAT ZA MONTAŽU U POSTOJEĆI KONTEJNER</t>
        </is>
      </c>
      <c r="C14" s="160" t="n"/>
      <c r="D14" s="160" t="n"/>
      <c r="E14" s="127" t="n"/>
      <c r="F14" s="127" t="n"/>
    </row>
    <row r="15" s="92">
      <c r="A15" s="162" t="n"/>
      <c r="B15" s="163" t="inlineStr">
        <is>
          <t>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(„04 AG dio", tačka 4.4.2.3). Agregat (372 kg mokro na 0,96 m² = 3,80 kN/m²) i pun spremnik (≈590 kg na 0,63 m² = 9,2 kN/m²) ostaju unutar te vrijednosti, ali djeluju KONCENTRISANO na malom broju sekundarnih nosača, zbog čega je roštilj za raznošenje opterećenja iz Tačke 4.3 OBAVEZAN. Vrijednost 2,00 kN/m² iz istog projekta odnosi se samo na pokretno opterećenje prohodnog dijela poda i nije mjerodavna za oslanjanje opreme.</t>
        </is>
      </c>
      <c r="C15" s="164" t="n"/>
      <c r="D15" s="164" t="n"/>
      <c r="E15" s="162" t="n"/>
      <c r="F15" s="162" t="n"/>
    </row>
    <row r="16" s="92">
      <c r="A16" s="128" t="inlineStr">
        <is>
          <t>4.1</t>
        </is>
      </c>
      <c r="B16" s="161" t="inlineStr">
        <is>
          <t>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sredini jugoistočne strane ograde (svijetla širina cca 1,00 m) i ulazna vrata kontejnera 900 × 2000 mm; ponuđač bira način unosa i dužan je u ponudi potvrditi izvodljivost
 - SERVISNI PROSTOR ( prema crtežu M-01): agregat se postavlja CENTRIRANO u slobodnom prostoru kontejnera, sa najmanje 720 mm sa JUGOZAPADNE i 720 mm sa SJEVEROISTOČNE strane (520 mm na dijelu gdje je GRO) te 1155 mm sa JUGOISTOČNE strane. Sa SJEVEROZAPADNE strane je hladnjak, koji izduvava u kanal kroz zid i ne servisira se s te strane
 - dimenzije skida prilagoditi raspoloživom prostoru
 - dozvoljeni nivo buke izvan kontejnera &lt;68 dBA pri opterećenju 75 % na 7 m, režim Standby
 - taster EMERGENCY STOP uz ulazna vrata kontejnera</t>
        </is>
      </c>
      <c r="C16" s="128" t="inlineStr">
        <is>
          <t>kpl</t>
        </is>
      </c>
      <c r="D16" s="128" t="n">
        <v>1</v>
      </c>
      <c r="E16" s="131" t="n"/>
      <c r="F16" s="131">
        <f>IF(AND(D16&lt;&gt;"",E16&lt;&gt;""),D16*E16,"")</f>
        <v/>
      </c>
    </row>
    <row r="17" s="92">
      <c r="A17" s="128" t="inlineStr">
        <is>
          <t>4.2</t>
        </is>
      </c>
      <c r="B17" s="161" t="inlineStr">
        <is>
          <t>Isporuka, montaža i povezivanje dvoplašnog spremnika dizel goriva zapremine 500 l (0,5 m³), od čeličnog lima, sa svim spojnim priborom, cjevovodima i armaturama. Zapremina spremnika nije predmet varijantnih rješenja i ne umanjuje se ni u slučaju ojačanja poda iz Tačke 4.3.
 - referentne dimenzije 1050 × 600 × 1310 mm, masa prazan 170 kg (pun ≈590 kg); smještaj u JUŽNI ugao kontejnera (uz JZ i JI zid), prema crtežu M-01
 - odušna cijev izvedena IZVAN kontejnera,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is>
      </c>
      <c r="C17" s="128" t="inlineStr">
        <is>
          <t>kpl</t>
        </is>
      </c>
      <c r="D17" s="128" t="n">
        <v>1</v>
      </c>
      <c r="E17" s="131" t="n"/>
      <c r="F17" s="131">
        <f>IF(AND(D17&lt;&gt;"",E17&lt;&gt;""),D17*E17,"")</f>
        <v/>
      </c>
    </row>
    <row r="18" s="92">
      <c r="A18" s="128" t="inlineStr">
        <is>
          <t>4.3</t>
        </is>
      </c>
      <c r="B18" s="161" t="inlineStr">
        <is>
          <t>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is>
      </c>
      <c r="C18" s="128" t="inlineStr">
        <is>
          <t>kpl</t>
        </is>
      </c>
      <c r="D18" s="128" t="n">
        <v>1</v>
      </c>
      <c r="E18" s="131" t="n"/>
      <c r="F18" s="131">
        <f>IF(AND(D18&lt;&gt;"",E18&lt;&gt;""),D18*E18,"")</f>
        <v/>
      </c>
    </row>
    <row r="19" s="92">
      <c r="A19" s="128" t="inlineStr">
        <is>
          <t>4.4</t>
        </is>
      </c>
      <c r="B19" s="161" t="inlineStr">
        <is>
          <t>Izrada i montaža fleksibilnog spoja od plastificiranog ceradnog platna sa protuokvirom od čelične trake 30 × 1,5 mm, prema dimenzijama hladnjaka ponuđenog agregata.</t>
        </is>
      </c>
      <c r="C19" s="128" t="inlineStr">
        <is>
          <t>kpl</t>
        </is>
      </c>
      <c r="D19" s="128" t="n">
        <v>1</v>
      </c>
      <c r="E19" s="131" t="n"/>
      <c r="F19" s="131">
        <f>IF(AND(D19&lt;&gt;"",E19&lt;&gt;""),D19*E19,"")</f>
        <v/>
      </c>
    </row>
    <row r="20" s="92">
      <c r="A20" s="128" t="inlineStr">
        <is>
          <t>4.5</t>
        </is>
      </c>
      <c r="B20" s="161" t="inlineStr">
        <is>
          <t>Izrada i montaža limenog kanala za odvod toplog zraka sa agregata, od pocinčanog lima d=1 mm, sa prirubnicama 30 × 1,5 mm, komplet sa fazonskim komadima i ovjesnim priborom. Kanal je PRELAZNI KOMAD od prirubnice hladnjaka do žaluzine 600 × 600 mm kroz SJEVEROZAPADNI (SZ) zid; hladnjak je 60 mm od zida, pa je razvijena površina ≈1,0 m². Stvarnu mjeru uzeti na licu mjesta prema ponuđenom agregatu.
RASPORED (OBAVEZNO, prema crtežu M-01): kanal se vodi najkraćim putem od radijatora kroz SJEVEROZAPADNI (SZ) zid kontejnera do izlazne žaluzine iz Tačke 4.6.</t>
        </is>
      </c>
      <c r="C20" s="128" t="inlineStr">
        <is>
          <t>kpl</t>
        </is>
      </c>
      <c r="D20" s="128" t="n">
        <v>1</v>
      </c>
      <c r="E20" s="131" t="n"/>
      <c r="F20" s="131">
        <f>IF(AND(D20&lt;&gt;"",E20&lt;&gt;""),D20*E20,"")</f>
        <v/>
      </c>
    </row>
    <row r="21" s="92">
      <c r="A21" s="128" t="inlineStr">
        <is>
          <t>4.6</t>
        </is>
      </c>
      <c r="B21" s="161" t="inlineStr">
        <is>
          <t>Isporuka i montaža fiksne žaluzine na kraju kanala za odvod toplog zraka, dimenzija 600 × 600 mm, sa zaštitnom mrežicom, komplet sa montažnim materijalom.
RASPORED (OBAVEZNO, prema crtežu M-01): žaluzina se ugrađuje u SJEVEROZAPADNI (SZ) zid kontejnera, na osi radijatora agregata. Topli zrak i izduv se NE smiju izbacivati prema SJEVEROISTOČNOJ (SI) strani, gdje se nalaze postojeći vanjski ormari ICC360-HA1-C1 i MTS9302A i gdje se nalazi usis svježeg zraka.</t>
        </is>
      </c>
      <c r="C21" s="128" t="inlineStr">
        <is>
          <t>kpl</t>
        </is>
      </c>
      <c r="D21" s="128" t="n">
        <v>1</v>
      </c>
      <c r="E21" s="131" t="n"/>
      <c r="F21" s="131">
        <f>IF(AND(D21&lt;&gt;"",E21&lt;&gt;""),D21*E21,"")</f>
        <v/>
      </c>
    </row>
    <row r="22" s="92">
      <c r="A22" s="128" t="inlineStr">
        <is>
          <t>4.7</t>
        </is>
      </c>
      <c r="B22" s="161" t="inlineStr">
        <is>
          <t>Isporuka i montaža vanjske fiksne žaluzine za dovod svježeg zraka, dimenzija 500 × 700 mm, sa zaštitnom mrežicom. Žaluzine postaviti tako da se spriječi ulaz vode u kontejner prilikom padavina.
RASPORED (OBAVEZNO, prema crtežu M-01): žaluzina se ugrađuje u SJEVEROISTOČNI (SI) zid kontejnera, na jugoistočnom kraju, sa donjom ivicom na cca 0,30 m od poda. Sjeveroistočna strana je zasjenjena veći dio dana i daje najhladniji usisni zrak, čime se poboljšava hlađenje agregata. Žaluzina se postavlja jugoistočno od vanjskih ormara ICC360-HA1-C1/MTS9302A kako se ne bi usisavao topli zrak sa njih. Prostorna udaljenost od izduva i od odušne cijevi spremnika ≥3 m. Nije dozvoljeno izvesti dovod zraka kroz ulazna vrata.</t>
        </is>
      </c>
      <c r="C22" s="128" t="inlineStr">
        <is>
          <t>kpl</t>
        </is>
      </c>
      <c r="D22" s="128" t="n">
        <v>1</v>
      </c>
      <c r="E22" s="131" t="n"/>
      <c r="F22" s="131">
        <f>IF(AND(D22&lt;&gt;"",E22&lt;&gt;""),D22*E22,"")</f>
        <v/>
      </c>
    </row>
    <row r="23" s="92">
      <c r="A23" s="128" t="inlineStr">
        <is>
          <t>4.8</t>
        </is>
      </c>
      <c r="B23" s="161" t="inlineStr">
        <is>
          <t>Isporuka i montaža aksijalnog EC ventilatora 48 V DC za prinudnu ventilaciju prostora agregata, kapaciteta 1200 m³/h, Ø315 mm, napajanog iz DC razvoda −48 V (Tačka 5.16), sa termostatskim upravljanjem. Ventilator radi prema termostatu dok agregat miruje; za vrijeme rada agregata kontroler agregata ga isključuje. Minimalna potrebna ventilacija prostora iznosi 120 m³/h (6 izmjena zraka na sat).
RASPORED (prema crtežu M-01): ventilator se ugrađuje u JUGOISTOČNI (JI) zid kontejnera, u gornjoj zoni (donja ivica cca 1,75 m), sjeveroistočno od ulaznih vrata.</t>
        </is>
      </c>
      <c r="C23" s="128" t="inlineStr">
        <is>
          <t>kpl</t>
        </is>
      </c>
      <c r="D23" s="128" t="n">
        <v>1</v>
      </c>
      <c r="E23" s="131" t="n"/>
      <c r="F23" s="131">
        <f>IF(AND(D23&lt;&gt;"",E23&lt;&gt;""),D23*E23,"")</f>
        <v/>
      </c>
    </row>
    <row r="24" s="92">
      <c r="A24" s="128" t="inlineStr">
        <is>
          <t>4.9</t>
        </is>
      </c>
      <c r="B24" s="161" t="inlineStr">
        <is>
          <t>Isporuka i montaža okrugle zaštitne rešetke na izlaznoj strani ventilatora, kao OZR-1/S/RAL/315 ili ekvivalent.</t>
        </is>
      </c>
      <c r="C24" s="128" t="inlineStr">
        <is>
          <t>kpl</t>
        </is>
      </c>
      <c r="D24" s="128" t="n">
        <v>1</v>
      </c>
      <c r="E24" s="131" t="n"/>
      <c r="F24" s="131">
        <f>IF(AND(D24&lt;&gt;"",E24&lt;&gt;""),D24*E24,"")</f>
        <v/>
      </c>
    </row>
    <row r="25" s="92">
      <c r="A25" s="128" t="inlineStr">
        <is>
          <t>4.10</t>
        </is>
      </c>
      <c r="B25" s="161" t="inlineStr">
        <is>
          <t>Isporuka i montaža sistema za odvod izduvnih gasova: čelična cijev NO 50 mm sa ispušnim loncem (prigušivačem), izvedena izvan kontejnera i završena IZNAD KROVA, usmjereno naviše, sa kapom protiv upada padavina. Na kraju izduvne cijevi postaviti HVATAČ ISKRI. Dužine: od elastičnog umetka do prigušivača, sa jednim lukom 90°, 1 m; od prigušivača do izlaza iznad krova, do 4 m. Komplet sa elastičnim umetkom, lukovima i montažnim materijalom.
TRASA: fleksibilni spoj i prigušivač neposredno iza motora, uspon uz SJEVEROZAPADNI (SZ) zid kontejnera, završetak IZNAD KROVA usmjeren naviše, sa hvatačem iskri.
NO 50: sa agregatom 18 kVA protok izduvnih gasova je 192 m³/h pri 413 °C, brzina 27,2 m/s (ispod uobičajenih 30 m/s), protutlak ≈1,9 kPa uz dozvoljenih 10,2 kPa.</t>
        </is>
      </c>
      <c r="C25" s="128" t="inlineStr">
        <is>
          <t>kpl</t>
        </is>
      </c>
      <c r="D25" s="128" t="n">
        <v>1</v>
      </c>
      <c r="E25" s="131" t="n"/>
      <c r="F25" s="131">
        <f>IF(AND(D25&lt;&gt;"",E25&lt;&gt;""),D25*E25,"")</f>
        <v/>
      </c>
    </row>
    <row r="26" s="92">
      <c r="A26" s="128" t="inlineStr">
        <is>
          <t>4.11</t>
        </is>
      </c>
      <c r="B26" s="161" t="inlineStr">
        <is>
          <t>Čišćenje i bojenje izduvnog cjevovoda bojom otpornom na temperaturu 600 °C.</t>
        </is>
      </c>
      <c r="C26" s="128" t="inlineStr">
        <is>
          <t>kpl</t>
        </is>
      </c>
      <c r="D26" s="128" t="n">
        <v>1</v>
      </c>
      <c r="E26" s="131" t="n"/>
      <c r="F26" s="131">
        <f>IF(AND(D26&lt;&gt;"",E26&lt;&gt;""),D26*E26,"")</f>
        <v/>
      </c>
    </row>
    <row r="27" s="92">
      <c r="A27" s="128" t="inlineStr">
        <is>
          <t>4.12</t>
        </is>
      </c>
      <c r="B27" s="161" t="inlineStr">
        <is>
          <t>Termička izolacija izduvnog sistema kamenom vunom d=50 mm i opšivanje izduvnog cjevovoda i lonca Al limom d=1 mm. Za trasu do 5 m iz Tačke 4.10 i vanjski prečnik izolacije ≈165 mm razvijena površina je ≈3,0 m².</t>
        </is>
      </c>
      <c r="C27" s="128" t="inlineStr">
        <is>
          <t>kpl</t>
        </is>
      </c>
      <c r="D27" s="128" t="n">
        <v>1</v>
      </c>
      <c r="E27" s="131" t="n"/>
      <c r="F27" s="131">
        <f>IF(AND(D27&lt;&gt;"",E27&lt;&gt;""),D27*E27,"")</f>
        <v/>
      </c>
    </row>
    <row r="28" s="92">
      <c r="A28" s="128" t="inlineStr">
        <is>
          <t>4.13</t>
        </is>
      </c>
      <c r="B28" s="161" t="inlineStr">
        <is>
          <t>Isporuka i ugradnja opreme za zimski rad: termoizolacija cjevovoda goriva; prvo punjenje (Tačka 4.15) zimskim dizel gorivom prema EN 590, klase prema najnižoj temperaturi lokacije.</t>
        </is>
      </c>
      <c r="C28" s="128" t="inlineStr">
        <is>
          <t>kpl</t>
        </is>
      </c>
      <c r="D28" s="128" t="n">
        <v>1</v>
      </c>
      <c r="E28" s="131" t="n"/>
      <c r="F28" s="131">
        <f>IF(AND(D28&lt;&gt;"",E28&lt;&gt;""),D28*E28,"")</f>
        <v/>
      </c>
    </row>
    <row r="29" s="92">
      <c r="A29" s="128" t="inlineStr">
        <is>
          <t>4.14</t>
        </is>
      </c>
      <c r="B29" s="161" t="inlineStr">
        <is>
          <t>Protupožarna zaštita i senzorika prostora agregata: automatski detektor dima na stropu, termojavljač povišene temperature (t&gt;30 °C) i snižene temperature (podesivi prag, zadano −10 °C — upozorenje na rizik hladnog starta i goriva), aparat za početno gašenje požara S-6 sa nosačem, te automatski uređaj za gašenje požara. Svi signali se prosljeđuju do razvodnog ormara signalizacije (ROS) i u nadzorni centar.</t>
        </is>
      </c>
      <c r="C29" s="128" t="inlineStr">
        <is>
          <t>kpl</t>
        </is>
      </c>
      <c r="D29" s="128" t="n">
        <v>1</v>
      </c>
      <c r="E29" s="131" t="n"/>
      <c r="F29" s="131">
        <f>IF(AND(D29&lt;&gt;"",E29&lt;&gt;""),D29*E29,"")</f>
        <v/>
      </c>
    </row>
    <row r="30" s="92">
      <c r="A30" s="128" t="inlineStr">
        <is>
          <t>4.15</t>
        </is>
      </c>
      <c r="B30" s="161" t="inlineStr">
        <is>
          <t>Prvo punjenje spremnika dizel gorivom EURO 5 / BAS EN 590, uključujući transport gorivom na lokaciju i pretakanje. Obračun po stvarno isporučenoj količini. Prvo punjenje je 250 l (spremnik 500 l se ne puni do vrha pri primopredaji).</t>
        </is>
      </c>
      <c r="C30" s="128" t="inlineStr">
        <is>
          <t>l</t>
        </is>
      </c>
      <c r="D30" s="128" t="n">
        <v>250</v>
      </c>
      <c r="E30" s="131" t="n"/>
      <c r="F30" s="131">
        <f>IF(AND(D30&lt;&gt;"",E30&lt;&gt;""),D30*E30,"")</f>
        <v/>
      </c>
    </row>
    <row r="31" s="92">
      <c r="A31" s="128" t="inlineStr">
        <is>
          <t>4.16</t>
        </is>
      </c>
      <c r="B31" s="161" t="inlineStr">
        <is>
          <t>Sitni montažni materijal.</t>
        </is>
      </c>
      <c r="C31" s="128" t="inlineStr">
        <is>
          <t>paušal</t>
        </is>
      </c>
      <c r="D31" s="128" t="n">
        <v>1</v>
      </c>
      <c r="E31" s="131" t="n"/>
      <c r="F31" s="131">
        <f>IF(AND(D31&lt;&gt;"",E31&lt;&gt;""),D31*E31,"")</f>
        <v/>
      </c>
    </row>
    <row r="32" s="92">
      <c r="A32" s="128" t="inlineStr">
        <is>
          <t>4.17</t>
        </is>
      </c>
      <c r="B32" s="161"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32" s="128" t="inlineStr">
        <is>
          <t>kpl</t>
        </is>
      </c>
      <c r="D32" s="128" t="n">
        <v>1</v>
      </c>
      <c r="E32" s="131" t="n"/>
      <c r="F32" s="131">
        <f>IF(AND(D32&lt;&gt;"",E32&lt;&gt;""),D32*E32,"")</f>
        <v/>
      </c>
    </row>
    <row r="33" s="92">
      <c r="A33" s="128" t="inlineStr">
        <is>
          <t>4.18</t>
        </is>
      </c>
      <c r="B33" s="161" t="inlineStr">
        <is>
          <t>Set rezervnih dijelova za 500 sati rada DEA po preporuci proizvođača.</t>
        </is>
      </c>
      <c r="C33" s="128" t="inlineStr">
        <is>
          <t>kpl</t>
        </is>
      </c>
      <c r="D33" s="128" t="n">
        <v>1</v>
      </c>
      <c r="E33" s="131" t="n"/>
      <c r="F33" s="131">
        <f>IF(AND(D33&lt;&gt;"",E33&lt;&gt;""),D33*E33,"")</f>
        <v/>
      </c>
    </row>
    <row r="34" s="92">
      <c r="A34" s="128" t="inlineStr">
        <is>
          <t>4.19</t>
        </is>
      </c>
      <c r="B34" s="161" t="inlineStr">
        <is>
          <t>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is>
      </c>
      <c r="C34" s="128" t="inlineStr">
        <is>
          <t>kpl</t>
        </is>
      </c>
      <c r="D34" s="128" t="n">
        <v>1</v>
      </c>
      <c r="E34" s="131" t="n"/>
      <c r="F34" s="131">
        <f>IF(AND(D34&lt;&gt;"",E34&lt;&gt;""),D34*E34,"")</f>
        <v/>
      </c>
    </row>
    <row r="35" s="92">
      <c r="A35" s="128" t="inlineStr">
        <is>
          <t>4.20</t>
        </is>
      </c>
      <c r="B35" s="161" t="inlineStr">
        <is>
          <t>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is>
      </c>
      <c r="C35" s="128" t="inlineStr">
        <is>
          <t>kpl</t>
        </is>
      </c>
      <c r="D35" s="128" t="n">
        <v>1</v>
      </c>
      <c r="E35" s="131" t="n"/>
      <c r="F35" s="131">
        <f>IF(AND(D35&lt;&gt;"",E35&lt;&gt;""),D35*E35,"")</f>
        <v/>
      </c>
    </row>
    <row r="36" s="92">
      <c r="A36" s="166" t="n"/>
      <c r="B36" s="167" t="inlineStr">
        <is>
          <t>UKUPNO 4 — AGREGAT ZA MONTAŽU U KONTEJNER:</t>
        </is>
      </c>
      <c r="C36" s="168" t="n"/>
      <c r="D36" s="168" t="n"/>
      <c r="E36" s="137" t="n"/>
      <c r="F36" s="138">
        <f>SUM(F16:F35)</f>
        <v/>
      </c>
    </row>
    <row r="37"/>
    <row r="38" s="92">
      <c r="A38" s="125" t="inlineStr">
        <is>
          <t>5</t>
        </is>
      </c>
      <c r="B38" s="159" t="inlineStr">
        <is>
          <t>ELEKTROMONTAŽNI RADOVI</t>
        </is>
      </c>
      <c r="C38" s="160" t="n"/>
      <c r="D38" s="160" t="n"/>
      <c r="E38" s="127" t="n"/>
      <c r="F38" s="127" t="n"/>
    </row>
    <row r="39" s="92">
      <c r="A39" s="128" t="inlineStr">
        <is>
          <t>5.1</t>
        </is>
      </c>
      <c r="B39" s="161" t="inlineStr">
        <is>
          <t>Iskop rova dimenzija 0,40 × 0,80 m u zemlji IV-V kategorije za polaganje elektroenergetskih kablova i uzemljivačke trake, sa zatrpavanjem zemljom od iskopa te raščišćavanjem i planiranjem trase. Količina obuhvata trasu hibridni sistem — DEA i nosači FN panela do 15 m1 i krak uzemljivačke trake do nosača, ukupno do 30 m1. Obračun po ostvarenom m1.</t>
        </is>
      </c>
      <c r="C39" s="128" t="inlineStr">
        <is>
          <t>m1</t>
        </is>
      </c>
      <c r="D39" s="128" t="n">
        <v>30</v>
      </c>
      <c r="E39" s="131" t="n"/>
      <c r="F39" s="131">
        <f>IF(AND(D39&lt;&gt;"",E39&lt;&gt;""),D39*E39,"")</f>
        <v/>
      </c>
    </row>
    <row r="40" s="92">
      <c r="A40" s="128" t="inlineStr">
        <is>
          <t>5.2</t>
        </is>
      </c>
      <c r="B40" s="161" t="inlineStr">
        <is>
          <t>Isporuka i polaganje alkaten PEHD cijevi Ø50 za uvlačenje napojnog energetskog kabla, DC solarnih kablova i kabla za daljinski nadzor. Na cijevi položiti upozoravajuću PVC traku "PAŽNJA ENERGETSKI KABEL". 3 cijevi × 15,00 m</t>
        </is>
      </c>
      <c r="C40" s="128" t="inlineStr">
        <is>
          <t>m</t>
        </is>
      </c>
      <c r="D40" s="128" t="n">
        <v>45</v>
      </c>
      <c r="E40" s="131" t="n"/>
      <c r="F40" s="131">
        <f>IF(AND(D40&lt;&gt;"",E40&lt;&gt;""),D40*E40,"")</f>
        <v/>
      </c>
    </row>
    <row r="41" s="92">
      <c r="A41" s="128" t="inlineStr">
        <is>
          <t>5.3</t>
        </is>
      </c>
      <c r="B41" s="161" t="inlineStr">
        <is>
          <t>Isporuka i polaganje vruće pocinčane uzemljivačke trake Fe/Zn 25×4 mm (presjek min. 100 mm², debljina min. 2,5 mm), na dubini od 1,00 m obzirom da se radi o planinskoj lokaciji (izbjegavanje efekta zaleđivanja tla), sa svim radovima na povezivanju na postojeći prstenasti uzemljivač radi izjednačenja potencijala.</t>
        </is>
      </c>
      <c r="C41" s="128" t="inlineStr">
        <is>
          <t>m</t>
        </is>
      </c>
      <c r="D41" s="128" t="n">
        <v>40</v>
      </c>
      <c r="E41" s="131" t="n"/>
      <c r="F41" s="131">
        <f>IF(AND(D41&lt;&gt;"",E41&lt;&gt;""),D41*E41,"")</f>
        <v/>
      </c>
    </row>
    <row r="42" s="92">
      <c r="A42" s="128" t="inlineStr">
        <is>
          <t>5.4</t>
        </is>
      </c>
      <c r="B42" s="161" t="inlineStr">
        <is>
          <t>Isporuka i montaža FeZn 60×60 mm ukrsnih komada za povezivanje uzemljivačke trake na postojeći sistem uzemljenja i na nosive konstrukcije FN panela.</t>
        </is>
      </c>
      <c r="C42" s="128" t="inlineStr">
        <is>
          <t>kom</t>
        </is>
      </c>
      <c r="D42" s="128" t="n">
        <v>8</v>
      </c>
      <c r="E42" s="131" t="n"/>
      <c r="F42" s="131">
        <f>IF(AND(D42&lt;&gt;"",E42&lt;&gt;""),D42*E42,"")</f>
        <v/>
      </c>
    </row>
    <row r="43" s="92">
      <c r="A43" s="128" t="inlineStr">
        <is>
          <t>5.5</t>
        </is>
      </c>
      <c r="B43" s="161" t="inlineStr">
        <is>
          <t>Isporuka i polaganje veza na dionici hibridni sistem — DEA:
 - energetski kabl dužine do 15 m, tip NYY-J 5×6 mm²
 - signalni kabl dužine do 15 m, tip J-Y(ST)Y 4×2×0,6 mm²
 - komunikacioni Ethernet kabl dužine do 15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43" s="128" t="inlineStr">
        <is>
          <t>kpl</t>
        </is>
      </c>
      <c r="D43" s="128" t="n">
        <v>1</v>
      </c>
      <c r="E43" s="131" t="n"/>
      <c r="F43" s="131">
        <f>IF(AND(D43&lt;&gt;"",E43&lt;&gt;""),D43*E43,"")</f>
        <v/>
      </c>
    </row>
    <row r="44" s="92">
      <c r="A44" s="128" t="inlineStr">
        <is>
          <t>5.6</t>
        </is>
      </c>
      <c r="B44" s="161" t="inlineStr">
        <is>
          <t>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orijentacionih dimenzija 0,60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63 A, sa uvezanim statusom slobodnog kontakta sa kontrolerom agregata (DIG IN); položaje obilježiti: 1-„agregat", 0-„isključeno", 2-„rezerva"
 - 1 kom 3p dvopoložajna sklopka 0-1, 63 A, sa pomoćnim kontaktom za uvezivanje statusa sa kontrolerom agregata (DIG IN)
 - 3 kom 1p automatski prekidač, C, 32 A, 10 kA, za zaštitu napajanja preko DEA
 - 1 kom odvodnik prenapona AC, KOMBINOVANI TIP 1 + 2 prema EN 61643-11, Iimp ≥12,5 kA (10/350 µs) po polu, Up ≤1,5 kV, 4p, sa signalizacijom za daljinsko očitanje i uvezanim statusom sa kontrolerom agregata. Objekat ima vanjski sistem zaštite od munje (antenski stub h=38 m), pa odvodnik tipa 2 sam po sebi NIJE dovoljan prema EN 62305-4
 - 1 kom 4p zaštitna strujna sklopka (RCD) 63 A / 300 mA, S-tip (selektivna), za cjelokupni napojni krug iza sklopke izvora
 - 2 kom 1p+N RCBO 16 A / 30 mA, tip A, za utičnice i rasvjetu kontejnera
 - 1 kom 3p automatski prekidač, C, 32 A, 10 kA, za AC napajanje ispravljačkog sistema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is>
      </c>
      <c r="C44" s="128" t="inlineStr">
        <is>
          <t>kpl</t>
        </is>
      </c>
      <c r="D44" s="128" t="n">
        <v>1</v>
      </c>
      <c r="E44" s="131" t="n"/>
      <c r="F44" s="131">
        <f>IF(AND(D44&lt;&gt;"",E44&lt;&gt;""),D44*E44,"")</f>
        <v/>
      </c>
    </row>
    <row r="45" s="92">
      <c r="A45" s="128" t="inlineStr">
        <is>
          <t>5.7</t>
        </is>
      </c>
      <c r="B45" s="161" t="inlineStr">
        <is>
          <t>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is>
      </c>
      <c r="C45" s="128" t="inlineStr">
        <is>
          <t>kpl</t>
        </is>
      </c>
      <c r="D45" s="128" t="n">
        <v>1</v>
      </c>
      <c r="E45" s="131" t="n"/>
      <c r="F45" s="131">
        <f>IF(AND(D45&lt;&gt;"",E45&lt;&gt;""),D45*E45,"")</f>
        <v/>
      </c>
    </row>
    <row r="46" s="92">
      <c r="A46" s="128" t="inlineStr">
        <is>
          <t>5.8</t>
        </is>
      </c>
      <c r="B46" s="161"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46" s="128" t="inlineStr">
        <is>
          <t>kpl</t>
        </is>
      </c>
      <c r="D46" s="128" t="n">
        <v>1</v>
      </c>
      <c r="E46" s="131" t="n"/>
      <c r="F46" s="131">
        <f>IF(AND(D46&lt;&gt;"",E46&lt;&gt;""),D46*E46,"")</f>
        <v/>
      </c>
    </row>
    <row r="47" s="92">
      <c r="A47" s="128" t="inlineStr">
        <is>
          <t>5.9</t>
        </is>
      </c>
      <c r="B47" s="161" t="inlineStr">
        <is>
          <t>Ostali sitni montažni i potrošni materijal.</t>
        </is>
      </c>
      <c r="C47" s="128" t="inlineStr">
        <is>
          <t>paušal</t>
        </is>
      </c>
      <c r="D47" s="128" t="n">
        <v>1</v>
      </c>
      <c r="E47" s="131" t="n"/>
      <c r="F47" s="131">
        <f>IF(AND(D47&lt;&gt;"",E47&lt;&gt;""),D47*E47,"")</f>
        <v/>
      </c>
    </row>
    <row r="48" s="92">
      <c r="A48" s="128" t="inlineStr">
        <is>
          <t>5.10</t>
        </is>
      </c>
      <c r="B48" s="161" t="inlineStr">
        <is>
          <t>Snimanje postojećeg stanja i prevezivanje postojećih strujnih krugova na novi GRO iz Tačke 5.6. Obuhvata:
 - snimanje i evidentiranje svih 7 postojećih strujnih krugova postojećeg razvoda, sa mjerenjem opterećenja i izradom jednopolne sheme zatečenog stanja
 - prevezivanje krugova na odgovarajuće izvode novog GRO, sa označavanjem
 - SIGNALNA RASVJETA antenskog stuba h=38 m (krug K7) NE prevezuje se na novi GRO: priključuje se na DC razvod −48 V iz Tačke 5.16, svjetiljka prema Tački 5.17, sa nadzorom ispada i dojavom u sistem daljinskog nadzora — rasvjeta prepreke je trajno noćno opterećenje i ne smije biti isključena prilikom rekonfiguracije napajanja
 - Ponuđač mjeri stvarnu snagu rasvjete prepreke i dostavlja je Kupcu radi provjere energetskog bilansa (Prilog I, Tačka 1)
Komplet sa spojnim materijalom, oznakama, ispitivanjem i ažuriranom jednopolnom shemom izvedenog stanja.</t>
        </is>
      </c>
      <c r="C48" s="128" t="inlineStr">
        <is>
          <t>kpl</t>
        </is>
      </c>
      <c r="D48" s="128" t="n">
        <v>1</v>
      </c>
      <c r="E48" s="131" t="n"/>
      <c r="F48" s="131">
        <f>IF(AND(D48&lt;&gt;"",E48&lt;&gt;""),D48*E48,"")</f>
        <v/>
      </c>
    </row>
    <row r="49" s="92">
      <c r="A49" s="128" t="inlineStr">
        <is>
          <t>5.11</t>
        </is>
      </c>
      <c r="B49" s="161" t="inlineStr">
        <is>
          <t>Isporuka i ugradnja odvodnika prenapona za SIGNALNE i KOMUNIKACIONE VODOVE prema EN 61643-21: na signalnom kablu J-Y(ST)Y i na Ethernet vodu prema kontroleru agregata i sistemu daljinskog nadzora, na oba kraja dionice. Objekat ima vanjski sistem zaštite od munje i antenski stub h=38 m, pa je zaštita signalnih vodova obavezna prema EN 62305-4. Komplet sa nosačima, uzemljenjem odvodnika i ispitivanjem.</t>
        </is>
      </c>
      <c r="C49" s="128" t="inlineStr">
        <is>
          <t>kpl</t>
        </is>
      </c>
      <c r="D49" s="128" t="n">
        <v>1</v>
      </c>
      <c r="E49" s="131" t="n"/>
      <c r="F49" s="131">
        <f>IF(AND(D49&lt;&gt;"",E49&lt;&gt;""),D49*E49,"")</f>
        <v/>
      </c>
    </row>
    <row r="50" s="92">
      <c r="A50" s="128" t="inlineStr">
        <is>
          <t>5.12</t>
        </is>
      </c>
      <c r="B50" s="16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25 m iznosi 0,78 %. 2 stringa × 2 × 25,00 m</t>
        </is>
      </c>
      <c r="C50" s="128" t="inlineStr">
        <is>
          <t>m</t>
        </is>
      </c>
      <c r="D50" s="128" t="n">
        <v>100</v>
      </c>
      <c r="E50" s="131" t="n"/>
      <c r="F50" s="131">
        <f>IF(AND(D50&lt;&gt;"",E50&lt;&gt;""),D50*E50,"")</f>
        <v/>
      </c>
    </row>
    <row r="51" s="92">
      <c r="A51" s="128" t="inlineStr">
        <is>
          <t>5.13</t>
        </is>
      </c>
      <c r="B51" s="161" t="inlineStr">
        <is>
          <t>Isporuka i ugradnja odvodnika prenapona DC, tip 2 (Iimp ≥5 kA, Ucpv ≥425 V), ZA SVAKI STRING, sa pripadajućim rastavnim osiguračima, u PVDB ormaru koji obezbjeđuje Kupac ili u zasebnom kućištu min. IP55. Po jedan komplet po stringu (2 stringa × 6 modula, v. LOT 1, Tačka 1.1 i crtež E-01), zbog dužine DC trase od 25 m.</t>
        </is>
      </c>
      <c r="C51" s="128" t="inlineStr">
        <is>
          <t>kpl</t>
        </is>
      </c>
      <c r="D51" s="128" t="n">
        <v>2</v>
      </c>
      <c r="E51" s="131" t="n"/>
      <c r="F51" s="131">
        <f>IF(AND(D51&lt;&gt;"",E51&lt;&gt;""),D51*E51,"")</f>
        <v/>
      </c>
    </row>
    <row r="52" s="92">
      <c r="A52" s="128" t="inlineStr">
        <is>
          <t>5.14</t>
        </is>
      </c>
      <c r="B52" s="161" t="inlineStr">
        <is>
          <t>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is>
      </c>
      <c r="C52" s="128" t="inlineStr">
        <is>
          <t>kpl</t>
        </is>
      </c>
      <c r="D52" s="128" t="n">
        <v>1</v>
      </c>
      <c r="E52" s="131" t="n"/>
      <c r="F52" s="131">
        <f>IF(AND(D52&lt;&gt;"",E52&lt;&gt;""),D52*E52,"")</f>
        <v/>
      </c>
    </row>
    <row r="53" s="92">
      <c r="A53" s="128" t="inlineStr">
        <is>
          <t>5.16</t>
        </is>
      </c>
      <c r="B53" s="161" t="inlineStr">
        <is>
          <t>DC razvod −48 V za trajne potrošače: isporuka, montaža i povezivanje ormarića u kontejneru, napojenog sa slobodnog DC izvoda ormara Huawei ICC360-HA1-C1 (vlastiti zaštitni prekidač), kablom 2 × 6 mm² kroz zid kontejnera. DC prekidači za izvode: svjetiljka za obilježavanje stuba (Tačka 5.17), vatrodojavna centrala i punjač akumulatora za start agregata (preko DC/DC pretvarača iz Tačke 5.18), ventilator prostora (Tačka 4.8), predgrijač rashladne tečnosti agregata (Tačka 3.1) i rasvjeta kontejnera. Uključena jedna LED svjetiljka 48 V DC, IP65, sa prekidačem uz ulazna vrata — svjetlo i kad agregat ne radi. Signalizacija ispada prema SMU. Dozvoljena potrošnja trajnih potrošača: Prilog I, Tačka 4.5.</t>
        </is>
      </c>
      <c r="C53" s="128" t="inlineStr">
        <is>
          <t>kpl</t>
        </is>
      </c>
      <c r="D53" s="128" t="n">
        <v>1</v>
      </c>
      <c r="E53" s="131" t="n"/>
      <c r="F53" s="131">
        <f>IF(AND(D53&lt;&gt;"",E53&lt;&gt;""),D53*E53,"")</f>
        <v/>
      </c>
    </row>
    <row r="54" s="92">
      <c r="A54" s="128" t="inlineStr">
        <is>
          <t>5.17</t>
        </is>
      </c>
      <c r="B54" s="161" t="inlineStr">
        <is>
          <t>Svjetiljka za obilježavanje antenskog stuba 48 V DC: zamjena postojeće svjetiljke LED svjetiljkom za 48 V DC niskog intenziteta, sa foto-senzorom i nadzorom ispada; kabl od DC razvoda iz Tačke 5.16 do svjetiljke po postojećoj trasi uz stub; uključen rad na visini. Alternativa: postojeća svjetiljka ostaje i napaja se preko DC/AC pretvarača ≤100 W; Ponuđač bira rješenje. Dozvoljena potrošnja: Prilog I, Tačka 4.5.</t>
        </is>
      </c>
      <c r="C54" s="128" t="inlineStr">
        <is>
          <t>kpl</t>
        </is>
      </c>
      <c r="D54" s="128" t="n">
        <v>1</v>
      </c>
      <c r="E54" s="131" t="n"/>
      <c r="F54" s="131">
        <f>IF(AND(D54&lt;&gt;"",E54&lt;&gt;""),D54*E54,"")</f>
        <v/>
      </c>
    </row>
    <row r="55" s="92">
      <c r="A55" s="128" t="inlineStr">
        <is>
          <t>5.18</t>
        </is>
      </c>
      <c r="B55" s="161" t="inlineStr">
        <is>
          <t>DC/DC pretvarači za trajne potrošače, napojeni iz DC razvoda iz Tačke 5.16: 48 V → nazivni napon vatrodojavne centrale (centrala zadržava vlastite akumulatore prema EN 54-4) i punjač akumulatora za start agregata (48 V → 12/24 V prema agregatu), sa strujnim ograničenjem, zaštitom i signalizacijom.</t>
        </is>
      </c>
      <c r="C55" s="128" t="inlineStr">
        <is>
          <t>kpl</t>
        </is>
      </c>
      <c r="D55" s="128" t="n">
        <v>1</v>
      </c>
      <c r="E55" s="131" t="n"/>
      <c r="F55" s="131">
        <f>IF(AND(D55&lt;&gt;"",E55&lt;&gt;""),D55*E55,"")</f>
        <v/>
      </c>
    </row>
    <row r="56" s="92">
      <c r="A56" s="135" t="n"/>
      <c r="B56" s="167" t="inlineStr">
        <is>
          <t>UKUPNO 5 — ELEKTROMONTAŽNI RADOVI:</t>
        </is>
      </c>
      <c r="C56" s="168" t="n"/>
      <c r="D56" s="168" t="n"/>
      <c r="E56" s="137" t="n"/>
      <c r="F56" s="138">
        <f>SUM(F39:F55)</f>
        <v/>
      </c>
    </row>
    <row r="57"/>
    <row r="58" s="92">
      <c r="A58" s="125" t="inlineStr">
        <is>
          <t>6</t>
        </is>
      </c>
      <c r="B58" s="159" t="inlineStr">
        <is>
          <t>PUŠTANJE U RAD, OBUKA I DOKUMENTACIJA (DO POTPUNE GOTOVOSTI)</t>
        </is>
      </c>
      <c r="C58" s="160" t="n"/>
      <c r="D58" s="160" t="n"/>
      <c r="E58" s="127" t="n"/>
      <c r="F58" s="127" t="n"/>
    </row>
    <row r="59" s="92">
      <c r="A59" s="162" t="n"/>
      <c r="B59" s="169" t="n"/>
      <c r="C59" s="168" t="n"/>
      <c r="D59" s="168" t="n"/>
      <c r="E59" s="137" t="n"/>
      <c r="F59" s="162" t="n"/>
    </row>
    <row r="60" s="92">
      <c r="A60" s="128" t="inlineStr">
        <is>
          <t>6.1</t>
        </is>
      </c>
      <c r="B60" s="161" t="inlineStr">
        <is>
          <t>Puštanje u rad kompletnog sistema, funkcionalno testiranje automatskog starta DEA po kriteriju stanja baterija, testiranje prelaska izvora i 72-satni probni rad sa zapisom parametara.</t>
        </is>
      </c>
      <c r="C60" s="128" t="inlineStr">
        <is>
          <t>kpl</t>
        </is>
      </c>
      <c r="D60" s="128" t="n">
        <v>1</v>
      </c>
      <c r="E60" s="131" t="n"/>
      <c r="F60" s="131">
        <f>IF(AND(D60&lt;&gt;"",E60&lt;&gt;""),D60*E60,"")</f>
        <v/>
      </c>
    </row>
    <row r="61" s="92">
      <c r="A61" s="128" t="inlineStr">
        <is>
          <t>6.2</t>
        </is>
      </c>
      <c r="B61" s="161" t="inlineStr">
        <is>
          <t>Uvezivanje kontrolera DEA u krovni sistem nadzora i upravljanja BH Telecom-a (NetEco Management System), sa isporukom licenciranog softverskog paketa, instalacijom u nadzornom centru, uvezivanjem do najbližeg switcha i testiranjem prosljeđivanja alarma.</t>
        </is>
      </c>
      <c r="C61" s="128" t="inlineStr">
        <is>
          <t>kpl</t>
        </is>
      </c>
      <c r="D61" s="128" t="n">
        <v>1</v>
      </c>
      <c r="E61" s="131" t="n"/>
      <c r="F61" s="131">
        <f>IF(AND(D61&lt;&gt;"",E61&lt;&gt;""),D61*E61,"")</f>
        <v/>
      </c>
    </row>
    <row r="62" s="92">
      <c r="A62" s="128" t="inlineStr">
        <is>
          <t>6.3</t>
        </is>
      </c>
      <c r="B62" s="161" t="inlineStr">
        <is>
          <t>Obuka osoblja Investitora (do 4 osobe) za rukovanje i osnovno održavanje sistema, u trajanju od min. 1 radnog dana.</t>
        </is>
      </c>
      <c r="C62" s="128" t="inlineStr">
        <is>
          <t>kpl</t>
        </is>
      </c>
      <c r="D62" s="128" t="n">
        <v>1</v>
      </c>
      <c r="E62" s="131" t="n"/>
      <c r="F62" s="131">
        <f>IF(AND(D62&lt;&gt;"",E62&lt;&gt;""),D62*E62,"")</f>
        <v/>
      </c>
    </row>
    <row r="63" s="92">
      <c r="A63" s="128" t="inlineStr">
        <is>
          <t>6.4</t>
        </is>
      </c>
      <c r="B63" s="161" t="inlineStr">
        <is>
          <t>Izrada dokumentacije izvedenog stanja za kompletan LOT 2 (elektro, mašinski i građevinski dio), u 3 štampana primjerka i u elektronskoj formi (PDF + izvorni DWG/DOCX).</t>
        </is>
      </c>
      <c r="C63" s="128" t="inlineStr">
        <is>
          <t>kpl</t>
        </is>
      </c>
      <c r="D63" s="128" t="n">
        <v>1</v>
      </c>
      <c r="E63" s="131" t="n"/>
      <c r="F63" s="131">
        <f>IF(AND(D63&lt;&gt;"",E63&lt;&gt;""),D63*E63,"")</f>
        <v/>
      </c>
    </row>
    <row r="64" s="92">
      <c r="A64" s="135" t="n"/>
      <c r="B64" s="167" t="inlineStr">
        <is>
          <t>UKUPNO 6 — PUŠTANJE U RAD, OBUKA I DOKUMENTACIJA:</t>
        </is>
      </c>
      <c r="C64" s="168" t="n"/>
      <c r="D64" s="168" t="n"/>
      <c r="E64" s="137" t="n"/>
      <c r="F64" s="138">
        <f>SUM(F60:F63)</f>
        <v/>
      </c>
    </row>
    <row r="65"/>
    <row r="66" s="92">
      <c r="A66" s="170" t="n"/>
      <c r="B66" s="171" t="inlineStr">
        <is>
          <t>UKUPNO LOT 2 — BS SJEDNICA (bez PDV-a):</t>
        </is>
      </c>
      <c r="C66" s="168" t="n"/>
      <c r="D66" s="168" t="n"/>
      <c r="E66" s="137" t="n"/>
      <c r="F66" s="172">
        <f>F36+F56+F64</f>
        <v/>
      </c>
    </row>
  </sheetData>
  <mergeCells count="2">
    <mergeCell ref="A2:F2"/>
    <mergeCell ref="A3:F3"/>
  </mergeCells>
  <printOptions horizontalCentered="0" verticalCentered="0" headings="0" gridLines="0" gridLinesSet="1"/>
  <pageMargins left="0.7" right="0.7" top="0.75" bottom="0.75" header="0.3" footer="0.511811023622047"/>
  <pageSetup orientation="portrait" paperSize="9" scale="100" fitToHeight="0"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F67"/>
  <sheetViews>
    <sheetView tabSelected="0" zoomScale="150" zoomScaleNormal="150" workbookViewId="0">
      <selection activeCell="A1" sqref="A1"/>
    </sheetView>
  </sheetViews>
  <sheetFormatPr baseColWidth="8" defaultColWidth="11.53515625" defaultRowHeight="15" customHeight="0" zeroHeight="0" outlineLevelRow="0"/>
  <cols>
    <col width="4.73" customWidth="1" style="91" min="1" max="1"/>
    <col width="80.59999999999999" customWidth="1" style="146" min="2" max="2"/>
    <col width="6.3" customWidth="1" style="147" min="3" max="3"/>
    <col width="4.17" customWidth="1" style="147" min="4" max="4"/>
    <col width="12.42" customWidth="1" style="91" min="5" max="5"/>
    <col width="14.29" customWidth="1" style="91" min="6" max="6"/>
  </cols>
  <sheetData>
    <row r="1" s="92">
      <c r="A1" s="93" t="inlineStr">
        <is>
          <t>PRILOG II TD</t>
        </is>
      </c>
    </row>
    <row r="2" s="92">
      <c r="A2" s="94" t="inlineStr">
        <is>
          <t>OBRAZAC ZA CIJENU PONUDE - LOT 2 — BS HAMZIĆI (ČITLUK)</t>
        </is>
      </c>
    </row>
    <row r="3" ht="30" customHeight="1" s="92">
      <c r="A3" s="181" t="inlineStr">
        <is>
          <t>INFRASTRUKTURA I INSTALACIJA OPREME ZA AUTONOMNI HIBRIDNI SISTEM NAPAJANJA
BS SJEDNICA I BS HAMZIĆI (LOT 2)</t>
        </is>
      </c>
    </row>
    <row r="4"/>
    <row r="5" s="92">
      <c r="B5" s="148" t="inlineStr">
        <is>
          <t>Naziv Ponuđača:       __________________________________</t>
        </is>
      </c>
    </row>
    <row r="6" s="92">
      <c r="B6" s="148" t="inlineStr">
        <is>
          <t>Ponuda br.:              __________________________________</t>
        </is>
      </c>
    </row>
    <row r="7"/>
    <row r="8" s="92">
      <c r="A8" s="96" t="inlineStr">
        <is>
          <t>1</t>
        </is>
      </c>
      <c r="B8" s="149" t="inlineStr">
        <is>
          <t>2</t>
        </is>
      </c>
      <c r="C8" s="98" t="inlineStr">
        <is>
          <t>3</t>
        </is>
      </c>
      <c r="D8" s="98" t="inlineStr">
        <is>
          <t>4</t>
        </is>
      </c>
      <c r="E8" s="98" t="inlineStr">
        <is>
          <t>5</t>
        </is>
      </c>
      <c r="F8" s="99" t="inlineStr">
        <is>
          <t>6</t>
        </is>
      </c>
    </row>
    <row r="9" s="92">
      <c r="A9" s="150" t="inlineStr">
        <is>
          <t>r.br.</t>
        </is>
      </c>
      <c r="B9" s="151" t="inlineStr">
        <is>
          <t>Opis stavke</t>
        </is>
      </c>
      <c r="C9" s="152" t="inlineStr">
        <is>
          <t>Jed. mjere</t>
        </is>
      </c>
      <c r="D9" s="152" t="inlineStr">
        <is>
          <t>Količina</t>
        </is>
      </c>
      <c r="E9" s="152" t="inlineStr">
        <is>
          <t>Jed. cijena u KM bez PDV-a</t>
        </is>
      </c>
      <c r="F9" s="153" t="inlineStr">
        <is>
          <t>Ukupna cijena u KM bez PDV-a  6=(4x5)</t>
        </is>
      </c>
    </row>
    <row r="10" s="92">
      <c r="A10" s="154" t="n"/>
      <c r="B10" s="155" t="inlineStr">
        <is>
          <t>LOT 2 - INSTALACIJA AGREGATSKOG POSTROJENJA ZA HIBRIDNI SISTEM NAPAJANJA</t>
        </is>
      </c>
      <c r="C10" s="156" t="n"/>
      <c r="D10" s="156" t="n"/>
      <c r="E10" s="157" t="n"/>
      <c r="F10" s="158" t="n"/>
    </row>
    <row r="11" s="92">
      <c r="A11" s="125" t="n">
        <v>1</v>
      </c>
      <c r="B11" s="159" t="inlineStr">
        <is>
          <t>AUTOMATSKI DIZEL ELEKTRIČNI AGREGAT (DEA) — TEHNIČKA SPECIFIKACIJA</t>
        </is>
      </c>
      <c r="C11" s="160" t="n"/>
      <c r="D11" s="160" t="n"/>
      <c r="E11" s="127" t="n"/>
      <c r="F11" s="127" t="n"/>
    </row>
    <row r="12" s="92">
      <c r="A12" s="128" t="inlineStr">
        <is>
          <t>3.1</t>
        </is>
      </c>
      <c r="B12" s="161" t="inlineStr">
        <is>
          <t>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lokacije 493 m n.v. i temperaturu okoline +40 °C: faktor 0,931, standby 13,4 kW, prime 12,3 kW;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PREDGRIJAČ RASHLADNE TEČNOSTI na DC napajanje — direktno 48 V ili preko DC/DC pretvarača odgovarajuće snage, iz DC razvoda −48 V (Tačka 5.16); uključuje ga kontroler agregata samo za kratko predgrijavanje prije pokretanja, pri niskoj temperaturi, i nikada ne radi trajno (obavezno — zimski rad; Prilog I, Tačka 4.1).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izlaz kontrolera (relej) za uključivanje DC predgrijača rashladne tečnosti (napajanje iz DC razvoda, Tačka 5.16) prije svakog pokretanja, servisna utičnica 230 V AC, rasvjeta KOA.
KOMUTACIJA — LOKACIJA NIJE PRIKLJUČENA NA ELEKTROENERGETSKU MREŽU: ne predviđa se mrežni sklopnik niti izbor izvora „mreža"; komutacija se izvodi između agregata (položaj 1) i rezervnog izvora (položaj 2, npr. mobilni agregat).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(≈77 % derativane prime snage na 493 m n.v. i +40 °C, koja iznosi 12,3 kW). Neograničen ispravljački sistem vuče ≈12,5 kW i premašuje raspoloživu snagu. Granica ujedno drži agregat iznad 30 % opterećenja i sprječava mokri rad motora.
OSTALA OPREMA: start baterija 12 V / 70 Ah; punjač start baterije 12 V / 5 A, napajan iz DC razvoda −48 V preko DC/DC pretvarača iz Tačke 5.18 (ne sa 230 V — AC napon postoji samo dok agregat radi), programabilni, sa dojavom kvara, uvezan sa kontrolerom.</t>
        </is>
      </c>
      <c r="C12" s="128" t="n"/>
      <c r="D12" s="128" t="n"/>
      <c r="E12" s="131" t="n"/>
      <c r="F12" s="131" t="n"/>
    </row>
    <row r="13"/>
    <row r="14" s="92">
      <c r="A14" s="125" t="inlineStr">
        <is>
          <t>4</t>
        </is>
      </c>
      <c r="B14" s="159" t="inlineStr">
        <is>
          <t>AGREGAT ZA MONTAŽU U POSTOJEĆI KONTEJNER</t>
        </is>
      </c>
      <c r="C14" s="160" t="n"/>
      <c r="D14" s="160" t="n"/>
      <c r="E14" s="127" t="n"/>
      <c r="F14" s="127" t="n"/>
    </row>
    <row r="15" s="92">
      <c r="A15" s="162" t="n"/>
      <c r="B15" s="163" t="inlineStr">
        <is>
          <t>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(AG dio, tačka 4.4.2). Agregat (372 kg mokro na 0,96 m² = 3,80 kN/m²) i pun spremnik (≈590 kg na 0,63 m² = 9,2 kN/m²) ostaju unutar te vrijednosti, ali djeluju KONCENTRISANO na malom broju sekundarnih nosača, zbog čega je roštilj za raznošenje opterećenja iz Tačke 4.3 OBAVEZAN. Vrijednost 2,00 kN/m² iz istog projekta odnosi se samo na pokretno opterećenje prohodnog dijela poda i nije mjerodavna za oslanjanje opreme.</t>
        </is>
      </c>
      <c r="C15" s="164" t="n"/>
      <c r="D15" s="164" t="n"/>
      <c r="E15" s="162" t="n"/>
      <c r="F15" s="162" t="n"/>
    </row>
    <row r="16" s="92">
      <c r="A16" s="128" t="inlineStr">
        <is>
          <t>4.1</t>
        </is>
      </c>
      <c r="B16" s="161" t="inlineStr">
        <is>
          <t>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SJEVEROZAPADNOJ (SZ) strani ograde (svijetla širina 1,30 m) i ulazna vrata kontejnera na SZ zidu, 1,00 × 2,15 m — skid 620 mm kroz vrata svijetle širine 990 mm, pravo po osi; najprije agregat, zatim spremnik; ponuđač bira način unosa i dužan je u ponudi potvrditi izvodljivost
 - SERVISNI PROSTOR (prema crtežu H-04): os agregata SZ–JI u sredini kontejnera; slobodan prostor: jugozapadna (JZ) strana 0,78 m, sjeveroistočna (SI) strana 0,78 m, kraj prema SZ 0,97 m do čela GRO; od vrata do korita spremnika 0,95 m slobodno. Sa JUGOISTOČNE (JI) strane je hladnjak, koji preko plenuma od 0,12 m izduvava kroz postojeće otvore klima-uređaja Stulz u sredini JI zida, u haubu koja topli zrak usmjerava naviše (Tačke 4.5 i 4.6) i ne servisira se s te strane. Ponuđač potvrđuje da su servisna mjesta agregata dostupna sa JZ i SI strane i sa SZ kraja
 - dimenzije skida prilagoditi raspoloživom prostoru
 - dozvoljeni nivo buke izvan kontejnera &lt;68 dBA pri opterećenju 75 % na 7 m, režim Standby
 - taster EMERGENCY STOP uz ulazna vrata kontejnera</t>
        </is>
      </c>
      <c r="C16" s="128" t="inlineStr">
        <is>
          <t>kpl</t>
        </is>
      </c>
      <c r="D16" s="128" t="n">
        <v>1</v>
      </c>
      <c r="E16" s="131" t="n"/>
      <c r="F16" s="131">
        <f>IF(AND(D16&lt;&gt;"",E16&lt;&gt;""),D16*E16,"")</f>
        <v/>
      </c>
    </row>
    <row r="17" s="92">
      <c r="A17" s="128" t="inlineStr">
        <is>
          <t>4.2</t>
        </is>
      </c>
      <c r="B17" s="161" t="inlineStr">
        <is>
          <t>Isporuka, montaža i povezivanje dvoplašnog spremnika dizel goriva zapremine 500 l (0,5 m³), od čeličnog lima, sa svim spojnim priborom, cjevovodima i armaturama. Zapremina spremnika nije predmet varijantnih rješenja i ne umanjuje se ni u slučaju ojačanja poda iz Tačke 4.3.
 - referentne dimenzije 1050 × 600 × 1310 mm, masa prazan 170 kg (pun ≈590 kg); smještaj u SJEVERNI ugao kontejnera (uz SZ i SI zid), prema crtežu H-04 — prihvatno korito 1150 × 640 mm uz SZ i SI zid; izduvni cjevovod je na jugozapadnoj strani agregata
 - odušna cijev izvedena IZVAN kontejnera kroz SZ zid, sjeveroistočno od vrata, do stojeće cijevi između kontejnera i SZ ograde (završetak +2,80 m) — principijelno prema H-04, konačno prema elaboratu zaštite od požara; najmanje 3 m od završetka izduva i od usisa zraka;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is>
      </c>
      <c r="C17" s="128" t="inlineStr">
        <is>
          <t>kpl</t>
        </is>
      </c>
      <c r="D17" s="128" t="n">
        <v>1</v>
      </c>
      <c r="E17" s="131" t="n"/>
      <c r="F17" s="131">
        <f>IF(AND(D17&lt;&gt;"",E17&lt;&gt;""),D17*E17,"")</f>
        <v/>
      </c>
    </row>
    <row r="18" s="92">
      <c r="A18" s="128" t="inlineStr">
        <is>
          <t>4.3</t>
        </is>
      </c>
      <c r="B18" s="161" t="inlineStr">
        <is>
          <t>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is>
      </c>
      <c r="C18" s="128" t="inlineStr">
        <is>
          <t>kpl</t>
        </is>
      </c>
      <c r="D18" s="128" t="n">
        <v>1</v>
      </c>
      <c r="E18" s="131" t="n"/>
      <c r="F18" s="131">
        <f>IF(AND(D18&lt;&gt;"",E18&lt;&gt;""),D18*E18,"")</f>
        <v/>
      </c>
    </row>
    <row r="19" s="92">
      <c r="A19" s="128" t="inlineStr">
        <is>
          <t>4.4</t>
        </is>
      </c>
      <c r="B19" s="161" t="inlineStr">
        <is>
          <t>Izrada i montaža fleksibilnog spoja od plastificiranog ceradnog platna sa protuokvirom od čelične trake 30 × 1,5 mm, prema dimenzijama hladnjaka ponuđenog agregata.</t>
        </is>
      </c>
      <c r="C19" s="128" t="inlineStr">
        <is>
          <t>kpl</t>
        </is>
      </c>
      <c r="D19" s="128" t="n">
        <v>1</v>
      </c>
      <c r="E19" s="131" t="n"/>
      <c r="F19" s="131">
        <f>IF(AND(D19&lt;&gt;"",E19&lt;&gt;""),D19*E19,"")</f>
        <v/>
      </c>
    </row>
    <row r="20" s="92">
      <c r="A20" s="128" t="inlineStr">
        <is>
          <t>4.5</t>
        </is>
      </c>
      <c r="B20" s="161" t="inlineStr">
        <is>
          <t>Izrada i montaža limenog kanala za odvod toplog zraka sa agregata, od pocinčanog lima d=1 mm, sa prirubnicama 30 × 1,5 mm, komplet sa fazonskim komadima i ovjesnim priborom. Kanal je PLENUM od prirubnice hladnjaka do POSTOJEĆIH OTVORA demontiranog klima-uređaja Stulz (Tačka 5.15) u sredini JUGOISTOČNOG (JI) zida kontejnera, sa prirubnicama, fleksibilnim spojem prema hladnjaku (Tačka 4.4) i brtvljenjem; razvijena površina ≈1,5 m². Stvarnu mjeru uzeti na licu mjesta prema ponuđenom agregatu.
RASPORED (OBAVEZNO, prema crtežu H-04): kanal se vodi najkraćim putem od radijatora do postojećih otvora klima-uređaja Stulz u sredini JUGOISTOČNOG (JI) zida kontejnera, u kojima se ugrađuje izlazna žaluzina iz Tačke 4.6.</t>
        </is>
      </c>
      <c r="C20" s="128" t="inlineStr">
        <is>
          <t>kpl</t>
        </is>
      </c>
      <c r="D20" s="128" t="n">
        <v>1</v>
      </c>
      <c r="E20" s="131" t="n"/>
      <c r="F20" s="131">
        <f>IF(AND(D20&lt;&gt;"",E20&lt;&gt;""),D20*E20,"")</f>
        <v/>
      </c>
    </row>
    <row r="21" s="92">
      <c r="A21" s="128" t="inlineStr">
        <is>
          <t>4.6</t>
        </is>
      </c>
      <c r="B21" s="161" t="inlineStr">
        <is>
          <t>Prilagođenje postojećih otvora demontiranog klima-uređaja Stulz (Tačka 5.15) u sredini JUGOISTOČNOG (JI) zida kontejnera za izlaz toplog zraka sa hladnjaka agregata: spajanje i/ili proširenje otvora na žaluzinu bruto površine ≥0,36 m² (npr. 600 × 600 mm), sa ojačanim okvirom u zidnom panelu; isporuka i montaža fiksne žaluzine na kraju kanala za odvod toplog zraka, sa zaštitnom mrežicom protiv insekata i ptica, komplet sa montažnim materijalom; vani hauba 700 × 600 mm od pocinčanog lima, zatvorenih bočnih strana i dna, sa rešetkom na vrhu (≈+1,30 m) — topli zrak se usmjerava NAVIŠE, ne prema FN polju; hauba najmanje 1,0 m od nogu stuba; neiskorišteni dio postojećih otvora zatvoriti sendvič panelom d=60 mm istovjetnim zidu kontejnera, sa brtvljenjem.
RASPORED (OBAVEZNO, prema crtežu H-04): žaluzina se ugrađuje u JUGOISTOČNI (JI) zid kontejnera, na mjestu postojećih otvora klima-uređaja Stulz u sredini zida, sa haubom koja topli zrak usmjerava naviše. Topli zrak i izduv se NE smiju izbacivati prema SJEVEROZAPADNOJ (SZ) strani, gdje su ulazna vrata kontejnera, prema JUGOZAPADNOJ (JZ) strani, gdje su vanjski ormari ICC360-HA1-C1 i MTS i FN polje, niti prema usisu svježeg zraka na SJEVEROISTOČNOM (SI) zidu (Tačka 4.7).</t>
        </is>
      </c>
      <c r="C21" s="128" t="inlineStr">
        <is>
          <t>kpl</t>
        </is>
      </c>
      <c r="D21" s="128" t="n">
        <v>1</v>
      </c>
      <c r="E21" s="131" t="n"/>
      <c r="F21" s="131">
        <f>IF(AND(D21&lt;&gt;"",E21&lt;&gt;""),D21*E21,"")</f>
        <v/>
      </c>
    </row>
    <row r="22" s="92">
      <c r="A22" s="128" t="inlineStr">
        <is>
          <t>4.7</t>
        </is>
      </c>
      <c r="B22" s="161" t="inlineStr">
        <is>
          <t>Isporuka i montaža vanjske fiksne žaluzine za dovod svježeg zraka, dimenzija 500 × 700 mm, sa zaštitnom mrežicom. Žaluzine postaviti tako da se spriječi ulaz vode u kontejner prilikom padavina.
RASPORED (OBAVEZNO, prema crtežu H-04): žaluzina se ugrađuje u SJEVEROISTOČNI (SI) zid kontejnera, uz alternator (sjeverozapadni kraj agregata), jugoistočno od korita spremnika, sa donjom ivicom na cca 0,30 m od poda; sjeveroistočna strana je zasjenjena veći dio dana. Prostorna udaljenost od izduva i od odušne cijevi spremnika ≥3 m (H-04: ≥3,2 m do završetka izduva i do oduška spremnika). Nije dozvoljeno izvesti dovod zraka kroz ulazna vrata.</t>
        </is>
      </c>
      <c r="C22" s="128" t="inlineStr">
        <is>
          <t>kpl</t>
        </is>
      </c>
      <c r="D22" s="128" t="n">
        <v>1</v>
      </c>
      <c r="E22" s="131" t="n"/>
      <c r="F22" s="131">
        <f>IF(AND(D22&lt;&gt;"",E22&lt;&gt;""),D22*E22,"")</f>
        <v/>
      </c>
    </row>
    <row r="23" s="92">
      <c r="A23" s="128" t="inlineStr">
        <is>
          <t>4.8</t>
        </is>
      </c>
      <c r="B23" s="161" t="inlineStr">
        <is>
          <t>Isporuka i montaža aksijalnog EC ventilatora 48 V DC, izvlačnog — izbacuje zrak iz prostora, za prinudnu ventilaciju prostora agregata, kapaciteta 1200 m³/h, Ø315 mm, napajanog iz DC razvoda −48 V (Tačka 5.16), sa termostatskim upravljanjem. Ventilator radi prema termostatu dok agregat miruje; za vrijeme rada agregata kontroler agregata ga isključuje. Minimalna potrebna ventilacija prostora iznosi 120 m³/h (6 izmjena zraka na sat).
RASPORED (prema crtežu H-04): ventilator se ugrađuje u JUGOISTOČNI (JI) zid kontejnera, u gornjoj zoni, sjeveroistočno od haube (Tačka 4.6).</t>
        </is>
      </c>
      <c r="C23" s="128" t="inlineStr">
        <is>
          <t>kpl</t>
        </is>
      </c>
      <c r="D23" s="128" t="n">
        <v>1</v>
      </c>
      <c r="E23" s="131" t="n"/>
      <c r="F23" s="131">
        <f>IF(AND(D23&lt;&gt;"",E23&lt;&gt;""),D23*E23,"")</f>
        <v/>
      </c>
    </row>
    <row r="24" s="92">
      <c r="A24" s="128" t="inlineStr">
        <is>
          <t>4.9</t>
        </is>
      </c>
      <c r="B24" s="161" t="inlineStr">
        <is>
          <t>Isporuka i montaža okrugle zaštitne rešetke na izlaznoj strani ventilatora, kao OZR-1/S/RAL/315 ili ekvivalent.</t>
        </is>
      </c>
      <c r="C24" s="128" t="inlineStr">
        <is>
          <t>kpl</t>
        </is>
      </c>
      <c r="D24" s="128" t="n">
        <v>1</v>
      </c>
      <c r="E24" s="131" t="n"/>
      <c r="F24" s="131">
        <f>IF(AND(D24&lt;&gt;"",E24&lt;&gt;""),D24*E24,"")</f>
        <v/>
      </c>
    </row>
    <row r="25" s="92">
      <c r="A25" s="128" t="inlineStr">
        <is>
          <t>4.10</t>
        </is>
      </c>
      <c r="B25" s="161" t="inlineStr">
        <is>
          <t>Isporuka i montaža sistema za odvod izduvnih gasova: čelična cijev NO 50 mm sa ispušnim loncem (prigušivačem), izvedena izvan kontejnera HORIZONTALNO kroz JUGOISTOČNI (JI) zid kontejnera, iz jugozapadnog (JZ) prolaza, zapadno od haube, na visini ≈+2,30 m, usmjereno prema jugoistoku, sa kapom protiv upada padavina. Prodor kroz zid izvesti sa termički izolovanom zaštitnom čahurom. Na kraju izduvne cijevi postaviti HVATAČ ISKRI. Dužine: od elastičnog umetka do prigušivača, sa jednim lukom 90°, 1 m; od prigušivača do izlaza kroz JI zid, do 4 m. Komplet sa elastičnim umetkom, lukovima i montažnim materijalom.
TRASA: fleksibilni spoj neposredno iza motora, prigušivač u jugozapadnom (JZ) prolazu, horizontalni izlaz kroz JUGOISTOČNI (JI) zid kontejnera na ≈+2,30 m, zapadno od haube, sa završetkom ≥0,40 m od zida — dalje od FN polja, ormara i ulaznih vrata, sa hvatačem iskri. Završetak iznad krova NIJE moguć: platforma antenskog stuba na +3,0 m nalazi se iznad krova kontejnera.
NO 50: sa agregatom 18 kVA protok izduvnih gasova je 192 m³/h pri 413 °C, brzina 27,2 m/s (ispod uobičajenih 30 m/s), protutlak ≈1,6 kPa uz dozvoljenih 10,2 kPa.</t>
        </is>
      </c>
      <c r="C25" s="128" t="inlineStr">
        <is>
          <t>kpl</t>
        </is>
      </c>
      <c r="D25" s="128" t="n">
        <v>1</v>
      </c>
      <c r="E25" s="131" t="n"/>
      <c r="F25" s="131">
        <f>IF(AND(D25&lt;&gt;"",E25&lt;&gt;""),D25*E25,"")</f>
        <v/>
      </c>
    </row>
    <row r="26" s="92">
      <c r="A26" s="128" t="inlineStr">
        <is>
          <t>4.11</t>
        </is>
      </c>
      <c r="B26" s="161" t="inlineStr">
        <is>
          <t>Čišćenje i bojenje izduvnog cjevovoda bojom otpornom na temperaturu 600 °C.</t>
        </is>
      </c>
      <c r="C26" s="128" t="inlineStr">
        <is>
          <t>kpl</t>
        </is>
      </c>
      <c r="D26" s="128" t="n">
        <v>1</v>
      </c>
      <c r="E26" s="131" t="n"/>
      <c r="F26" s="131">
        <f>IF(AND(D26&lt;&gt;"",E26&lt;&gt;""),D26*E26,"")</f>
        <v/>
      </c>
    </row>
    <row r="27" s="92">
      <c r="A27" s="128" t="inlineStr">
        <is>
          <t>4.12</t>
        </is>
      </c>
      <c r="B27" s="161" t="inlineStr">
        <is>
          <t>Termička izolacija izduvnog sistema kamenom vunom d=50 mm i opšivanje izduvnog cjevovoda i lonca Al limom d=1 mm. Za trasu iz Tačke 4.10 (≈1 m do prigušivača u JZ prolazu, zatim ≈2 m do JI zida) i vanjski prečnik izolacije ≈165 mm razvijena površina je ≈2,5 m².</t>
        </is>
      </c>
      <c r="C27" s="128" t="inlineStr">
        <is>
          <t>kpl</t>
        </is>
      </c>
      <c r="D27" s="128" t="n">
        <v>1</v>
      </c>
      <c r="E27" s="131" t="n"/>
      <c r="F27" s="131">
        <f>IF(AND(D27&lt;&gt;"",E27&lt;&gt;""),D27*E27,"")</f>
        <v/>
      </c>
    </row>
    <row r="28" s="92">
      <c r="A28" s="128" t="inlineStr">
        <is>
          <t>4.13</t>
        </is>
      </c>
      <c r="B28" s="161" t="inlineStr">
        <is>
          <t>Isporuka i ugradnja opreme za zimski rad: termoizolacija cjevovoda goriva; prvo punjenje (Tačka 4.15) zimskim dizel gorivom prema EN 590, klase prema najnižoj temperaturi lokacije.</t>
        </is>
      </c>
      <c r="C28" s="128" t="inlineStr">
        <is>
          <t>kpl</t>
        </is>
      </c>
      <c r="D28" s="128" t="n">
        <v>1</v>
      </c>
      <c r="E28" s="131" t="n"/>
      <c r="F28" s="131">
        <f>IF(AND(D28&lt;&gt;"",E28&lt;&gt;""),D28*E28,"")</f>
        <v/>
      </c>
    </row>
    <row r="29" s="92">
      <c r="A29" s="128" t="inlineStr">
        <is>
          <t>4.14</t>
        </is>
      </c>
      <c r="B29" s="161" t="inlineStr">
        <is>
          <t>Protupožarna zaštita i senzorika prostora agregata: automatski detektor dima na stropu, termojavljač povišene temperature (t&gt;30 °C) i snižene temperature (podesivi prag, zadano −10 °C — upozorenje na rizik hladnog starta i goriva), aparat za početno gašenje požara S-6 sa nosačem, te automatski uređaj za gašenje požara. Svi signali se prosljeđuju do razvodnog ormara signalizacije (ROS) i u nadzorni centar.</t>
        </is>
      </c>
      <c r="C29" s="128" t="inlineStr">
        <is>
          <t>kpl</t>
        </is>
      </c>
      <c r="D29" s="128" t="n">
        <v>1</v>
      </c>
      <c r="E29" s="131" t="n"/>
      <c r="F29" s="131">
        <f>IF(AND(D29&lt;&gt;"",E29&lt;&gt;""),D29*E29,"")</f>
        <v/>
      </c>
    </row>
    <row r="30" s="92">
      <c r="A30" s="128" t="inlineStr">
        <is>
          <t>4.15</t>
        </is>
      </c>
      <c r="B30" s="161" t="inlineStr">
        <is>
          <t>Prvo punjenje spremnika dizel gorivom EURO 5 / BAS EN 590, uključujući transport gorivom na lokaciju i pretakanje. Obračun po stvarno isporučenoj količini. Prvo punjenje je 250 l (spremnik 500 l se ne puni do vrha pri primopredaji).</t>
        </is>
      </c>
      <c r="C30" s="128" t="inlineStr">
        <is>
          <t>l</t>
        </is>
      </c>
      <c r="D30" s="128" t="n">
        <v>250</v>
      </c>
      <c r="E30" s="131" t="n"/>
      <c r="F30" s="131">
        <f>IF(AND(D30&lt;&gt;"",E30&lt;&gt;""),D30*E30,"")</f>
        <v/>
      </c>
    </row>
    <row r="31" s="92">
      <c r="A31" s="128" t="inlineStr">
        <is>
          <t>4.16</t>
        </is>
      </c>
      <c r="B31" s="161" t="inlineStr">
        <is>
          <t>Sitni montažni materijal.</t>
        </is>
      </c>
      <c r="C31" s="128" t="inlineStr">
        <is>
          <t>paušal</t>
        </is>
      </c>
      <c r="D31" s="128" t="n">
        <v>1</v>
      </c>
      <c r="E31" s="131" t="n"/>
      <c r="F31" s="131">
        <f>IF(AND(D31&lt;&gt;"",E31&lt;&gt;""),D31*E31,"")</f>
        <v/>
      </c>
    </row>
    <row r="32" s="92">
      <c r="A32" s="128" t="inlineStr">
        <is>
          <t>4.17</t>
        </is>
      </c>
      <c r="B32" s="161"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32" s="128" t="inlineStr">
        <is>
          <t>kpl</t>
        </is>
      </c>
      <c r="D32" s="128" t="n">
        <v>1</v>
      </c>
      <c r="E32" s="131" t="n"/>
      <c r="F32" s="131">
        <f>IF(AND(D32&lt;&gt;"",E32&lt;&gt;""),D32*E32,"")</f>
        <v/>
      </c>
    </row>
    <row r="33" s="92">
      <c r="A33" s="128" t="inlineStr">
        <is>
          <t>4.18</t>
        </is>
      </c>
      <c r="B33" s="161" t="inlineStr">
        <is>
          <t>Set rezervnih dijelova za 500 sati rada DEA po preporuci proizvođača.</t>
        </is>
      </c>
      <c r="C33" s="128" t="inlineStr">
        <is>
          <t>kpl</t>
        </is>
      </c>
      <c r="D33" s="128" t="n">
        <v>1</v>
      </c>
      <c r="E33" s="131" t="n"/>
      <c r="F33" s="131">
        <f>IF(AND(D33&lt;&gt;"",E33&lt;&gt;""),D33*E33,"")</f>
        <v/>
      </c>
    </row>
    <row r="34" s="92">
      <c r="A34" s="128" t="inlineStr">
        <is>
          <t>4.19</t>
        </is>
      </c>
      <c r="B34" s="161" t="inlineStr">
        <is>
          <t>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is>
      </c>
      <c r="C34" s="128" t="inlineStr">
        <is>
          <t>kpl</t>
        </is>
      </c>
      <c r="D34" s="128" t="n">
        <v>1</v>
      </c>
      <c r="E34" s="131" t="n"/>
      <c r="F34" s="131">
        <f>IF(AND(D34&lt;&gt;"",E34&lt;&gt;""),D34*E34,"")</f>
        <v/>
      </c>
    </row>
    <row r="35" s="92">
      <c r="A35" s="128" t="inlineStr">
        <is>
          <t>4.20</t>
        </is>
      </c>
      <c r="B35" s="161" t="inlineStr">
        <is>
          <t>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is>
      </c>
      <c r="C35" s="128" t="inlineStr">
        <is>
          <t>kpl</t>
        </is>
      </c>
      <c r="D35" s="128" t="n">
        <v>1</v>
      </c>
      <c r="E35" s="131" t="n"/>
      <c r="F35" s="131">
        <f>IF(AND(D35&lt;&gt;"",E35&lt;&gt;""),D35*E35,"")</f>
        <v/>
      </c>
    </row>
    <row r="36" s="92">
      <c r="A36" s="166" t="n"/>
      <c r="B36" s="167" t="inlineStr">
        <is>
          <t>UKUPNO 4 — AGREGAT ZA MONTAŽU U KONTEJNER:</t>
        </is>
      </c>
      <c r="C36" s="168" t="n"/>
      <c r="D36" s="168" t="n"/>
      <c r="E36" s="137" t="n"/>
      <c r="F36" s="138">
        <f>SUM(F16:F35)</f>
        <v/>
      </c>
    </row>
    <row r="37"/>
    <row r="38" s="92">
      <c r="A38" s="125" t="inlineStr">
        <is>
          <t>5</t>
        </is>
      </c>
      <c r="B38" s="159" t="inlineStr">
        <is>
          <t>ELEKTROMONTAŽNI RADOVI</t>
        </is>
      </c>
      <c r="C38" s="160" t="n"/>
      <c r="D38" s="160" t="n"/>
      <c r="E38" s="127" t="n"/>
      <c r="F38" s="127" t="n"/>
    </row>
    <row r="39" s="92">
      <c r="A39" s="128" t="inlineStr">
        <is>
          <t>5.1</t>
        </is>
      </c>
      <c r="B39" s="161" t="inlineStr">
        <is>
          <t>Iskop rova dimenzija 0,40 × 0,80 m u zemlji IV-V kategorije za polaganje elektroenergetskih kablova i uzemljivačke trake, sa zatrpavanjem zemljom od iskopa te raščišćavanjem i planiranjem trase. Količina obuhvata trasu hibridni sistem — DEA i nosači FN panela do 10 m1 i krak uzemljivačke trake do nosača, ukupno do 20 m1. Obračun po ostvarenom m1.</t>
        </is>
      </c>
      <c r="C39" s="128" t="inlineStr">
        <is>
          <t>m1</t>
        </is>
      </c>
      <c r="D39" s="128" t="n">
        <v>20</v>
      </c>
      <c r="E39" s="131" t="n"/>
      <c r="F39" s="131">
        <f>IF(AND(D39&lt;&gt;"",E39&lt;&gt;""),D39*E39,"")</f>
        <v/>
      </c>
    </row>
    <row r="40" s="92">
      <c r="A40" s="128" t="inlineStr">
        <is>
          <t>5.2</t>
        </is>
      </c>
      <c r="B40" s="161" t="inlineStr">
        <is>
          <t>Isporuka i polaganje alkaten PEHD cijevi Ø50 za uvlačenje napojnog energetskog kabla, DC solarnih kablova i kabla za daljinski nadzor. Na cijevi položiti upozoravajuću PVC traku "PAŽNJA ENERGETSKI KABEL". 3 cijevi × 10,00 m</t>
        </is>
      </c>
      <c r="C40" s="128" t="inlineStr">
        <is>
          <t>m</t>
        </is>
      </c>
      <c r="D40" s="128" t="n">
        <v>30</v>
      </c>
      <c r="E40" s="131" t="n"/>
      <c r="F40" s="131">
        <f>IF(AND(D40&lt;&gt;"",E40&lt;&gt;""),D40*E40,"")</f>
        <v/>
      </c>
    </row>
    <row r="41" s="92">
      <c r="A41" s="128" t="inlineStr">
        <is>
          <t>5.3</t>
        </is>
      </c>
      <c r="B41" s="161" t="inlineStr">
        <is>
          <t>Isporuka i polaganje vruće pocinčane uzemljivačke trake Fe/Zn 25×4 mm (presjek min. 100 mm², debljina min. 2,5 mm), na dubini od 1,00 m radi mehaničke zaštite i zaštite od smrzavanja tla (jedan opis za obje lokacije); tlo je krš, stijena blizu površine, pa iskop može biti u stijeni, sa svim radovima na povezivanju na postojeći prstenasti uzemljivač radi izjednačenja potencijala.</t>
        </is>
      </c>
      <c r="C41" s="128" t="inlineStr">
        <is>
          <t>m</t>
        </is>
      </c>
      <c r="D41" s="128" t="n">
        <v>30</v>
      </c>
      <c r="E41" s="131" t="n"/>
      <c r="F41" s="131">
        <f>IF(AND(D41&lt;&gt;"",E41&lt;&gt;""),D41*E41,"")</f>
        <v/>
      </c>
    </row>
    <row r="42" s="92">
      <c r="A42" s="128" t="inlineStr">
        <is>
          <t>5.4</t>
        </is>
      </c>
      <c r="B42" s="161" t="inlineStr">
        <is>
          <t>Isporuka i montaža FeZn 60×60 mm ukrsnih komada za povezivanje uzemljivačke trake na postojeći sistem uzemljenja i na nosive konstrukcije FN panela.</t>
        </is>
      </c>
      <c r="C42" s="128" t="inlineStr">
        <is>
          <t>kom</t>
        </is>
      </c>
      <c r="D42" s="128" t="n">
        <v>8</v>
      </c>
      <c r="E42" s="131" t="n"/>
      <c r="F42" s="131">
        <f>IF(AND(D42&lt;&gt;"",E42&lt;&gt;""),D42*E42,"")</f>
        <v/>
      </c>
    </row>
    <row r="43" s="92">
      <c r="A43" s="128" t="inlineStr">
        <is>
          <t>5.5</t>
        </is>
      </c>
      <c r="B43" s="161" t="inlineStr">
        <is>
          <t>Isporuka i polaganje veza na dionici hibridni sistem — DEA; ormari Huawei ICC360-HA1-C1 i MTS stoje na ploči na JZ strani, iza FN polja (principijelno), a veza sa GRO vodi ≈3–5 m kroz JZ zid kontejnera:
 - energetski kabl dužine ≈3–5 m, tip NYY-J 5×6 mm²
 - signalni kabl dužine ≈3–5 m, tip J-Y(ST)Y 4×2×0,6 mm²
 - komunikacioni Ethernet kabl dužine ≈3–5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43" s="128" t="inlineStr">
        <is>
          <t>kpl</t>
        </is>
      </c>
      <c r="D43" s="128" t="n">
        <v>1</v>
      </c>
      <c r="E43" s="131" t="n"/>
      <c r="F43" s="131">
        <f>IF(AND(D43&lt;&gt;"",E43&lt;&gt;""),D43*E43,"")</f>
        <v/>
      </c>
    </row>
    <row r="44" s="92">
      <c r="A44" s="128" t="inlineStr">
        <is>
          <t>5.6</t>
        </is>
      </c>
      <c r="B44" s="161" t="inlineStr">
        <is>
          <t>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za SZ zid jugozapadno od ulaznih vrata (širina zida 0,595 m), širine ≤0,50 m — orijentacionih dimenzija npr. 0,50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63 A, sa uvezanim statusom slobodnog kontakta sa kontrolerom agregata (DIG IN); položaje obilježiti: 1-„agregat", 0-„isključeno", 2-„rezerva"
 - 1 kom 3p dvopoložajna sklopka 0-1, 63 A, sa pomoćnim kontaktom za uvezivanje statusa sa kontrolerom agregata (DIG IN)
 - 3 kom 1p automatski prekidač, C, 32 A, 10 kA, za zaštitu napajanja preko DEA
 - 1 kom odvodnik prenapona AC, KOMBINOVANI TIP 1 + 2 prema EN 61643-11, Iimp ≥12,5 kA (10/350 µs) po polu, Up ≤1,5 kV, 4p, sa signalizacijom za daljinsko očitanje i uvezanim statusom sa kontrolerom agregata. Objekat ima vanjski sistem zaštite od munje (rešetkasti antenski stub h=32 m, platforme na +3,0 / +12,0 / +30,0 m), pa odvodnik tipa 2 sam po sebi NIJE dovoljan prema EN 62305-4
 - 1 kom 4p zaštitna strujna sklopka (RCD) 63 A / 300 mA, S-tip (selektivna), za cjelokupni napojni krug iza sklopke izvora
 - 2 kom 1p+N RCBO 16 A / 30 mA, tip A, za utičnice i rasvjetu kontejnera
 - 1 kom 3p automatski prekidač, C, 32 A, 10 kA, za AC napajanje ispravljačkog sistema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is>
      </c>
      <c r="C44" s="128" t="inlineStr">
        <is>
          <t>kpl</t>
        </is>
      </c>
      <c r="D44" s="128" t="n">
        <v>1</v>
      </c>
      <c r="E44" s="131" t="n"/>
      <c r="F44" s="131">
        <f>IF(AND(D44&lt;&gt;"",E44&lt;&gt;""),D44*E44,"")</f>
        <v/>
      </c>
    </row>
    <row r="45" s="92">
      <c r="A45" s="128" t="inlineStr">
        <is>
          <t>5.7</t>
        </is>
      </c>
      <c r="B45" s="161" t="inlineStr">
        <is>
          <t>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is>
      </c>
      <c r="C45" s="128" t="inlineStr">
        <is>
          <t>kpl</t>
        </is>
      </c>
      <c r="D45" s="128" t="n">
        <v>1</v>
      </c>
      <c r="E45" s="131" t="n"/>
      <c r="F45" s="131">
        <f>IF(AND(D45&lt;&gt;"",E45&lt;&gt;""),D45*E45,"")</f>
        <v/>
      </c>
    </row>
    <row r="46" s="92">
      <c r="A46" s="128" t="inlineStr">
        <is>
          <t>5.8</t>
        </is>
      </c>
      <c r="B46" s="161"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46" s="128" t="inlineStr">
        <is>
          <t>kpl</t>
        </is>
      </c>
      <c r="D46" s="128" t="n">
        <v>1</v>
      </c>
      <c r="E46" s="131" t="n"/>
      <c r="F46" s="131">
        <f>IF(AND(D46&lt;&gt;"",E46&lt;&gt;""),D46*E46,"")</f>
        <v/>
      </c>
    </row>
    <row r="47" s="92">
      <c r="A47" s="128" t="inlineStr">
        <is>
          <t>5.9</t>
        </is>
      </c>
      <c r="B47" s="161" t="inlineStr">
        <is>
          <t>Ostali sitni montažni i potrošni materijal.</t>
        </is>
      </c>
      <c r="C47" s="128" t="inlineStr">
        <is>
          <t>paušal</t>
        </is>
      </c>
      <c r="D47" s="128" t="n">
        <v>1</v>
      </c>
      <c r="E47" s="131" t="n"/>
      <c r="F47" s="131">
        <f>IF(AND(D47&lt;&gt;"",E47&lt;&gt;""),D47*E47,"")</f>
        <v/>
      </c>
    </row>
    <row r="48" s="92">
      <c r="A48" s="128" t="inlineStr">
        <is>
          <t>5.10</t>
        </is>
      </c>
      <c r="B48" s="161" t="inlineStr">
        <is>
          <t>Isporuka, montaža i povezivanje rasvjete i utičnica kontejnera — kontejner je PRAZAN, bez postojećih električnih instalacija. Obuhvata:
 - 1 kom LED svjetiljka IP65, svjetlosnog toka ≥1500 lm, 230 V iz GRO; druga svjetiljka kontejnera je LED svjetiljka 48 V DC sa prekidačem uz vrata iz Tačke 5.16, koja daje svjetlo i kad agregat ne radi
 - 2 kom utičnica 230 V / 16 A, IP44
 - prekidač rasvjete
 - bezhalogeni kablovi položeni u PVC kanalice, priključak na novi GRO iz Tačke 5.6
 - postojeća SIGNALNA RASVJETA (rasvjeta prepreke) antenskog stuba NE napaja se iz GRO: priključuje se na DC razvod −48 V iz Tačke 5.16, svjetiljka prema Tački 5.17 — rasvjeta prepreke je trajno noćno opterećenje i ne smije biti isključena prilikom rekonfiguracije napajanja
 - Ponuđač mjeri stvarnu snagu rasvjete prepreke i dostavlja je Kupcu radi provjere energetskog bilansa (Prilog I, Tačka 1)
Komplet sa spojnim materijalom, oznakama, ispitivanjem i jednopolnom shemom izvedenog stanja.</t>
        </is>
      </c>
      <c r="C48" s="128" t="inlineStr">
        <is>
          <t>kpl</t>
        </is>
      </c>
      <c r="D48" s="128" t="n">
        <v>1</v>
      </c>
      <c r="E48" s="131" t="n"/>
      <c r="F48" s="131">
        <f>IF(AND(D48&lt;&gt;"",E48&lt;&gt;""),D48*E48,"")</f>
        <v/>
      </c>
    </row>
    <row r="49" s="92">
      <c r="A49" s="128" t="inlineStr">
        <is>
          <t>5.11</t>
        </is>
      </c>
      <c r="B49" s="161" t="inlineStr">
        <is>
          <t>Isporuka i ugradnja odvodnika prenapona za SIGNALNE i KOMUNIKACIONE VODOVE prema EN 61643-21: na signalnom kablu J-Y(ST)Y i na Ethernet vodu prema kontroleru agregata i sistemu daljinskog nadzora, na oba kraja dionice. Objekat ima vanjski sistem zaštite od munje i rešetkasti antenski stub h=32 m (platforme na +3,0 / +12,0 / +30,0 m), pa je zaštita signalnih vodova obavezna prema EN 62305-4. Komplet sa nosačima, uzemljenjem odvodnika i ispitivanjem.</t>
        </is>
      </c>
      <c r="C49" s="128" t="inlineStr">
        <is>
          <t>kpl</t>
        </is>
      </c>
      <c r="D49" s="128" t="n">
        <v>1</v>
      </c>
      <c r="E49" s="131" t="n"/>
      <c r="F49" s="131">
        <f>IF(AND(D49&lt;&gt;"",E49&lt;&gt;""),D49*E49,"")</f>
        <v/>
      </c>
    </row>
    <row r="50" s="92">
      <c r="A50" s="128" t="inlineStr">
        <is>
          <t>5.12</t>
        </is>
      </c>
      <c r="B50" s="16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20 m iznosi 0,62 %. 2 stringa × 2 × 20,00 m</t>
        </is>
      </c>
      <c r="C50" s="128" t="inlineStr">
        <is>
          <t>m</t>
        </is>
      </c>
      <c r="D50" s="128" t="n">
        <v>80</v>
      </c>
      <c r="E50" s="131" t="n"/>
      <c r="F50" s="131">
        <f>IF(AND(D50&lt;&gt;"",E50&lt;&gt;""),D50*E50,"")</f>
        <v/>
      </c>
    </row>
    <row r="51" s="92">
      <c r="A51" s="128" t="inlineStr">
        <is>
          <t>5.13</t>
        </is>
      </c>
      <c r="B51" s="161" t="inlineStr">
        <is>
          <t>Isporuka i ugradnja odvodnika prenapona DC, tip 2 (Iimp ≥5 kA, Ucpv ≥425 V), ZA SVAKI STRING, sa pripadajućim rastavnim osiguračima, u PVDB ormaru koji obezbjeđuje Kupac ili u zasebnom kućištu min. IP55. Po jedan komplet po stringu (2 stringa × 6 modula, v. LOT 1, Tačka 1.1 i crtež H-05), zbog dužine DC trase od ≈20 m u jednom smjeru.</t>
        </is>
      </c>
      <c r="C51" s="128" t="inlineStr">
        <is>
          <t>kpl</t>
        </is>
      </c>
      <c r="D51" s="128" t="n">
        <v>2</v>
      </c>
      <c r="E51" s="131" t="n"/>
      <c r="F51" s="131">
        <f>IF(AND(D51&lt;&gt;"",E51&lt;&gt;""),D51*E51,"")</f>
        <v/>
      </c>
    </row>
    <row r="52" s="92">
      <c r="A52" s="128" t="inlineStr">
        <is>
          <t>5.14</t>
        </is>
      </c>
      <c r="B52" s="161" t="inlineStr">
        <is>
          <t>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is>
      </c>
      <c r="C52" s="128" t="inlineStr">
        <is>
          <t>kpl</t>
        </is>
      </c>
      <c r="D52" s="128" t="n">
        <v>1</v>
      </c>
      <c r="E52" s="131" t="n"/>
      <c r="F52" s="131">
        <f>IF(AND(D52&lt;&gt;"",E52&lt;&gt;""),D52*E52,"")</f>
        <v/>
      </c>
    </row>
    <row r="53" s="92">
      <c r="A53" s="128" t="inlineStr">
        <is>
          <t>5.15</t>
        </is>
      </c>
      <c r="B53" s="161" t="inlineStr">
        <is>
          <t>Odspajanje (230 V AC, 48 V DC, signalizacija) i demontaža postojećeg kompaktnog zidnog klima-uređaja Stulz WDE80 (8 kW) na JUGOISTOČNOM (JI) zidu kontejnera, u sredini, BEZ otvaranja rashladnog kruga; pakovanje, utovar i transport u skladište BH Telecom d.d. na Alipašinom Polju, Sarajevo, istovar i zapisnik o primopredaji (tip, serijski broj, stanje). Otvori u zidu ostaju i koriste se za izlaz toplog zraka agregata (Tačka 4.6).</t>
        </is>
      </c>
      <c r="C53" s="128" t="inlineStr">
        <is>
          <t>kpl</t>
        </is>
      </c>
      <c r="D53" s="128" t="n">
        <v>1</v>
      </c>
      <c r="E53" s="131" t="n"/>
      <c r="F53" s="131">
        <f>IF(AND(D53&lt;&gt;"",E53&lt;&gt;""),D53*E53,"")</f>
        <v/>
      </c>
    </row>
    <row r="54" s="92">
      <c r="A54" s="128" t="inlineStr">
        <is>
          <t>5.16</t>
        </is>
      </c>
      <c r="B54" s="161" t="inlineStr">
        <is>
          <t>DC razvod −48 V za trajne potrošače: isporuka, montaža i povezivanje ormarića u kontejneru, napojenog sa slobodnog DC izvoda ormara Huawei ICC360-HA1-C1 (vlastiti zaštitni prekidač), kablom 2 × 6 mm² kroz zid kontejnera. DC prekidači za izvode: svjetiljka za obilježavanje stuba (Tačka 5.17), vatrodojavna centrala i punjač akumulatora za start agregata (preko DC/DC pretvarača iz Tačke 5.18), ventilator prostora (Tačka 4.8), predgrijač rashladne tečnosti agregata (Tačka 3.1) i rasvjeta kontejnera. Uključena jedna LED svjetiljka 48 V DC, IP65, sa prekidačem uz ulazna vrata — svjetlo i kad agregat ne radi. Signalizacija ispada prema SMU. Dozvoljena potrošnja trajnih potrošača: Prilog I, Tačka 4.5.</t>
        </is>
      </c>
      <c r="C54" s="128" t="inlineStr">
        <is>
          <t>kpl</t>
        </is>
      </c>
      <c r="D54" s="128" t="n">
        <v>1</v>
      </c>
      <c r="E54" s="131" t="n"/>
      <c r="F54" s="131">
        <f>IF(AND(D54&lt;&gt;"",E54&lt;&gt;""),D54*E54,"")</f>
        <v/>
      </c>
    </row>
    <row r="55" s="92">
      <c r="A55" s="128" t="inlineStr">
        <is>
          <t>5.17</t>
        </is>
      </c>
      <c r="B55" s="161" t="inlineStr">
        <is>
          <t>Svjetiljka za obilježavanje antenskog stuba 48 V DC: zamjena postojeće svjetiljke LED svjetiljkom za 48 V DC niskog intenziteta, sa foto-senzorom i nadzorom ispada; kabl od DC razvoda iz Tačke 5.16 do svjetiljke po postojećoj trasi uz stub; uključen rad na visini. Alternativa: postojeća svjetiljka ostaje i napaja se preko DC/AC pretvarača ≤100 W; Ponuđač bira rješenje. Dozvoljena potrošnja: Prilog I, Tačka 4.5.</t>
        </is>
      </c>
      <c r="C55" s="128" t="inlineStr">
        <is>
          <t>kpl</t>
        </is>
      </c>
      <c r="D55" s="128" t="n">
        <v>1</v>
      </c>
      <c r="E55" s="131" t="n"/>
      <c r="F55" s="131">
        <f>IF(AND(D55&lt;&gt;"",E55&lt;&gt;""),D55*E55,"")</f>
        <v/>
      </c>
    </row>
    <row r="56" s="92">
      <c r="A56" s="128" t="inlineStr">
        <is>
          <t>5.18</t>
        </is>
      </c>
      <c r="B56" s="161" t="inlineStr">
        <is>
          <t>DC/DC pretvarači za trajne potrošače, napojeni iz DC razvoda iz Tačke 5.16: 48 V → nazivni napon vatrodojavne centrale (centrala zadržava vlastite akumulatore prema EN 54-4) i punjač akumulatora za start agregata (48 V → 12/24 V prema agregatu), sa strujnim ograničenjem, zaštitom i signalizacijom.</t>
        </is>
      </c>
      <c r="C56" s="128" t="inlineStr">
        <is>
          <t>kpl</t>
        </is>
      </c>
      <c r="D56" s="128" t="n">
        <v>1</v>
      </c>
      <c r="E56" s="131" t="n"/>
      <c r="F56" s="131">
        <f>IF(AND(D56&lt;&gt;"",E56&lt;&gt;""),D56*E56,"")</f>
        <v/>
      </c>
    </row>
    <row r="57" s="92">
      <c r="A57" s="135" t="n"/>
      <c r="B57" s="167" t="inlineStr">
        <is>
          <t>UKUPNO 5 — ELEKTROMONTAŽNI RADOVI:</t>
        </is>
      </c>
      <c r="C57" s="168" t="n"/>
      <c r="D57" s="168" t="n"/>
      <c r="E57" s="137" t="n"/>
      <c r="F57" s="138">
        <f>SUM(F39:F56)</f>
        <v/>
      </c>
    </row>
    <row r="58"/>
    <row r="59" s="92">
      <c r="A59" s="125" t="inlineStr">
        <is>
          <t>6</t>
        </is>
      </c>
      <c r="B59" s="159" t="inlineStr">
        <is>
          <t>PUŠTANJE U RAD, OBUKA I DOKUMENTACIJA (DO POTPUNE GOTOVOSTI)</t>
        </is>
      </c>
      <c r="C59" s="160" t="n"/>
      <c r="D59" s="160" t="n"/>
      <c r="E59" s="127" t="n"/>
      <c r="F59" s="127" t="n"/>
    </row>
    <row r="60" s="92">
      <c r="A60" s="162" t="n"/>
      <c r="B60" s="169" t="n"/>
      <c r="C60" s="168" t="n"/>
      <c r="D60" s="168" t="n"/>
      <c r="E60" s="137" t="n"/>
      <c r="F60" s="162" t="n"/>
    </row>
    <row r="61" s="92">
      <c r="A61" s="128" t="inlineStr">
        <is>
          <t>6.1</t>
        </is>
      </c>
      <c r="B61" s="161" t="inlineStr">
        <is>
          <t>Puštanje u rad kompletnog sistema, funkcionalno testiranje automatskog starta DEA po kriteriju stanja baterija, testiranje prelaska izvora i 72-satni probni rad sa zapisom parametara.</t>
        </is>
      </c>
      <c r="C61" s="128" t="inlineStr">
        <is>
          <t>kpl</t>
        </is>
      </c>
      <c r="D61" s="128" t="n">
        <v>1</v>
      </c>
      <c r="E61" s="131" t="n"/>
      <c r="F61" s="131">
        <f>IF(AND(D61&lt;&gt;"",E61&lt;&gt;""),D61*E61,"")</f>
        <v/>
      </c>
    </row>
    <row r="62" s="92">
      <c r="A62" s="128" t="inlineStr">
        <is>
          <t>6.2</t>
        </is>
      </c>
      <c r="B62" s="161" t="inlineStr">
        <is>
          <t>Uvezivanje kontrolera DEA u krovni sistem nadzora i upravljanja BH Telecom-a (NetEco Management System), sa isporukom licenciranog softverskog paketa, instalacijom u nadzornom centru, uvezivanjem do najbližeg switcha i testiranjem prosljeđivanja alarma.</t>
        </is>
      </c>
      <c r="C62" s="128" t="inlineStr">
        <is>
          <t>kpl</t>
        </is>
      </c>
      <c r="D62" s="128" t="n">
        <v>1</v>
      </c>
      <c r="E62" s="131" t="n"/>
      <c r="F62" s="131">
        <f>IF(AND(D62&lt;&gt;"",E62&lt;&gt;""),D62*E62,"")</f>
        <v/>
      </c>
    </row>
    <row r="63" s="92">
      <c r="A63" s="128" t="inlineStr">
        <is>
          <t>6.3</t>
        </is>
      </c>
      <c r="B63" s="161" t="inlineStr">
        <is>
          <t>Obuka osoblja Investitora (do 4 osobe) za rukovanje i osnovno održavanje sistema, u trajanju od min. 1 radnog dana.</t>
        </is>
      </c>
      <c r="C63" s="128" t="inlineStr">
        <is>
          <t>kpl</t>
        </is>
      </c>
      <c r="D63" s="128" t="n">
        <v>1</v>
      </c>
      <c r="E63" s="131" t="n"/>
      <c r="F63" s="131">
        <f>IF(AND(D63&lt;&gt;"",E63&lt;&gt;""),D63*E63,"")</f>
        <v/>
      </c>
    </row>
    <row r="64" s="92">
      <c r="A64" s="128" t="inlineStr">
        <is>
          <t>6.4</t>
        </is>
      </c>
      <c r="B64" s="161" t="inlineStr">
        <is>
          <t>Izrada dokumentacije izvedenog stanja za kompletan LOT 2 (elektro, mašinski i građevinski dio), u 3 štampana primjerka i u elektronskoj formi (PDF + izvorni DWG/DOCX).</t>
        </is>
      </c>
      <c r="C64" s="128" t="inlineStr">
        <is>
          <t>kpl</t>
        </is>
      </c>
      <c r="D64" s="128" t="n">
        <v>1</v>
      </c>
      <c r="E64" s="131" t="n"/>
      <c r="F64" s="131">
        <f>IF(AND(D64&lt;&gt;"",E64&lt;&gt;""),D64*E64,"")</f>
        <v/>
      </c>
    </row>
    <row r="65" s="92">
      <c r="A65" s="135" t="n"/>
      <c r="B65" s="167" t="inlineStr">
        <is>
          <t>UKUPNO 6 — PUŠTANJE U RAD, OBUKA I DOKUMENTACIJA:</t>
        </is>
      </c>
      <c r="C65" s="168" t="n"/>
      <c r="D65" s="168" t="n"/>
      <c r="E65" s="137" t="n"/>
      <c r="F65" s="138">
        <f>SUM(F61:F64)</f>
        <v/>
      </c>
    </row>
    <row r="66"/>
    <row r="67" s="92">
      <c r="A67" s="170" t="n"/>
      <c r="B67" s="171" t="inlineStr">
        <is>
          <t>UKUPNO LOT 2 — BS HAMZIĆI (bez PDV-a):</t>
        </is>
      </c>
      <c r="C67" s="168" t="n"/>
      <c r="D67" s="168" t="n"/>
      <c r="E67" s="137" t="n"/>
      <c r="F67" s="172">
        <f>F36+F57+F65</f>
        <v/>
      </c>
    </row>
  </sheetData>
  <mergeCells count="2">
    <mergeCell ref="A2:F2"/>
    <mergeCell ref="A3:F3"/>
  </mergeCells>
  <printOptions horizontalCentered="0" verticalCentered="0" headings="0" gridLines="0" gridLinesSet="1"/>
  <pageMargins left="0.7" right="0.7" top="0.75" bottom="0.75" header="0.3" footer="0.511811023622047"/>
  <pageSetup orientation="portrait" paperSize="9" scale="100" fitToHeight="0"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9"/>
  <sheetViews>
    <sheetView tabSelected="0" zoomScale="150" zoomScaleNormal="150" workbookViewId="0">
      <selection activeCell="A1" sqref="A1"/>
    </sheetView>
  </sheetViews>
  <sheetFormatPr baseColWidth="8" defaultColWidth="11.53515625" defaultRowHeight="15" customHeight="0" zeroHeight="0" outlineLevelRow="0"/>
  <cols>
    <col width="4.73" customWidth="1" style="92" min="1" max="1"/>
    <col width="80.59999999999999" customWidth="1" style="92" min="2" max="2"/>
    <col width="6.3" customWidth="1" style="92" min="3" max="3"/>
    <col width="4.17" customWidth="1" style="92" min="4" max="4"/>
    <col width="12.42" customWidth="1" style="92" min="5" max="5"/>
    <col width="14.29" customWidth="1" style="92" min="6" max="6"/>
  </cols>
  <sheetData>
    <row r="1" s="92">
      <c r="A1" s="93" t="inlineStr">
        <is>
          <t>PRILOG II TD</t>
        </is>
      </c>
    </row>
    <row r="2" s="92">
      <c r="A2" s="94" t="inlineStr">
        <is>
          <t>OBRAZAC ZA CIJENU PONUDE - LOT 2 - REKAPITULACIJA</t>
        </is>
      </c>
    </row>
    <row r="3" ht="30" customHeight="1" s="92">
      <c r="A3" s="181" t="inlineStr">
        <is>
          <t>INFRASTRUKTURA I INSTALACIJA OPREME ZA AUTONOMNI HIBRIDNI SISTEM NAPAJANJA
BS SJEDNICA I BS HAMZIĆI (LOT 1 i 2)</t>
        </is>
      </c>
    </row>
    <row r="4"/>
    <row r="5" s="92">
      <c r="B5" s="148" t="inlineStr">
        <is>
          <t>Naziv Ponuđača:       __________________________________</t>
        </is>
      </c>
    </row>
    <row r="6" s="92">
      <c r="B6" s="148" t="inlineStr">
        <is>
          <t>Ponuda br.:              __________________________________</t>
        </is>
      </c>
    </row>
    <row r="7"/>
    <row r="8" ht="15" customHeight="1" s="92">
      <c r="B8" t="inlineStr">
        <is>
          <t>REKAPITULACIJA</t>
        </is>
      </c>
    </row>
    <row r="9" s="92">
      <c r="A9" s="125" t="n"/>
      <c r="B9" s="159" t="inlineStr">
        <is>
          <t>LOT 2 - INSTALACIJA AGREGATSKOG POSTROJENJA ZA HIBRIDNI SISTEM NAPAJANJA</t>
        </is>
      </c>
      <c r="C9" s="160" t="n"/>
      <c r="D9" s="160" t="n"/>
      <c r="E9" s="127" t="n"/>
      <c r="F9" s="127" t="n"/>
    </row>
    <row r="10" s="92">
      <c r="A10" s="170" t="n"/>
      <c r="B10" s="161" t="inlineStr">
        <is>
          <t>BS Sjednica (Bileća) — LOT 2 bez PDV-a [KM]:</t>
        </is>
      </c>
      <c r="C10" s="168" t="n"/>
      <c r="D10" s="168" t="n"/>
      <c r="E10" s="137" t="n"/>
      <c r="F10" s="172">
        <f>'LOT 2 Sjednica'!F66</f>
        <v/>
      </c>
    </row>
    <row r="11" s="92">
      <c r="A11" s="170" t="n"/>
      <c r="B11" s="161" t="inlineStr">
        <is>
          <t>BS Hamzići (Čitluk) — LOT 2 bez PDV-a [KM]:</t>
        </is>
      </c>
      <c r="C11" s="168" t="n"/>
      <c r="D11" s="168" t="n"/>
      <c r="E11" s="137" t="n"/>
      <c r="F11" s="172">
        <f>'LOT 2 Hamzići'!F67</f>
        <v/>
      </c>
    </row>
    <row r="12" ht="15" customHeight="1" s="92">
      <c r="A12" s="173" t="n"/>
      <c r="B12" s="174" t="inlineStr">
        <is>
          <t>UKUPNO LOT 2 (BS Sjednica + BS Hamzići) bez PDV-a [KM]:</t>
        </is>
      </c>
      <c r="C12" s="168" t="n"/>
      <c r="D12" s="168" t="n"/>
      <c r="E12" s="137" t="n"/>
      <c r="F12" s="137">
        <f>SUM(F10:F11)</f>
        <v/>
      </c>
    </row>
    <row r="13" ht="15" customHeight="1" s="92">
      <c r="A13" s="173" t="n"/>
      <c r="B13" s="174" t="inlineStr">
        <is>
          <t>Popust [%]:</t>
        </is>
      </c>
      <c r="C13" s="168" t="n"/>
      <c r="D13" s="168" t="n"/>
      <c r="E13" s="137" t="n"/>
      <c r="F13" s="172" t="n"/>
    </row>
    <row r="14" ht="15" customHeight="1" s="92">
      <c r="A14" s="173" t="n"/>
      <c r="B14" s="174" t="inlineStr">
        <is>
          <t>UKUPNO LOT 2 sa popustom bez PDV-a [KM]:</t>
        </is>
      </c>
      <c r="C14" s="168" t="n"/>
      <c r="D14" s="168" t="n"/>
      <c r="E14" s="137" t="n"/>
      <c r="F14" s="137">
        <f>F12*(1-IF(F13="",0,F13/100))</f>
        <v/>
      </c>
    </row>
    <row r="15" ht="15" customHeight="1" s="92">
      <c r="A15" s="173" t="n"/>
      <c r="B15" s="174" t="inlineStr">
        <is>
          <t>Iznos PDV-a (17 %) [KM]:</t>
        </is>
      </c>
      <c r="C15" s="168" t="n"/>
      <c r="D15" s="168" t="n"/>
      <c r="E15" s="137" t="n"/>
      <c r="F15" s="137">
        <f>F14*0.17</f>
        <v/>
      </c>
    </row>
    <row r="16" ht="15" customHeight="1" s="92">
      <c r="A16" s="173" t="n"/>
      <c r="B16" s="174" t="inlineStr">
        <is>
          <t>UKUPNO LOT 2 sa popustom i PDV-om [KM]:</t>
        </is>
      </c>
      <c r="C16" s="168" t="n"/>
      <c r="D16" s="168" t="n"/>
      <c r="E16" s="137" t="n"/>
      <c r="F16" s="137">
        <f>F14+F15</f>
        <v/>
      </c>
    </row>
    <row r="17"/>
    <row r="18" s="92">
      <c r="A18" s="176" t="n"/>
      <c r="B18" s="177" t="inlineStr">
        <is>
          <t>NAPOMENA:</t>
        </is>
      </c>
    </row>
    <row r="19" s="92">
      <c r="A19" s="178" t="n"/>
      <c r="B19" s="179" t="inlineStr">
        <is>
          <t>- Nabavka je podijeljena na dva LOT-a prema vrsti radova: LOT 1 — konstrukcija nosača za fotonaponske panele, LOT 2 — agregatsko postrojenje (DEA) u postojećem kontejneru. Svaki LOT obuhvata OBJE lokacije: BS Sjednica (Bileća) i BS Hamzići (Čitluk). Ponuđač može dostaviti ponudu za JEDAN ili OBA LOT-a. Ugovor se dodjeljuje po LOT-u, prema kriteriju najniže cijene tehnički zadovoljavajuće ponude.</t>
        </is>
      </c>
    </row>
    <row r="20" s="92">
      <c r="A20" s="178" t="n"/>
      <c r="B20" s="179" t="inlineStr">
        <is>
          <t>- Ovaj obrazac se odnosi na LOT 2. Za drugi LOT popunjava se, potpisuje i ovjerava zaseban obrazac; ponuđač koji ne pristupa drugom LOT-u ne dostavlja njegov obrazac.</t>
        </is>
      </c>
    </row>
    <row r="21" s="92">
      <c r="A21" s="178" t="n"/>
      <c r="B21" s="179" t="inlineStr">
        <is>
          <t>- Cijene se upisuju posebno za svaku lokaciju, na listovima „LOT 2 Sjednica“ i „LOT 2 Hamzići“; iznosi se automatski prenose u ovu rekapitulaciju.</t>
        </is>
      </c>
    </row>
    <row r="22" s="92">
      <c r="A22" s="178" t="n"/>
      <c r="B22" s="179" t="inlineStr">
        <is>
          <t>- Ugovorne obaveze nastaju po upućivanju pismenog zahtjeva/narudžbe od strane BH Telecom-a.</t>
        </is>
      </c>
    </row>
    <row r="23" s="92">
      <c r="A23" s="178" t="n"/>
      <c r="B23" s="179" t="inlineStr">
        <is>
          <t>- Količine u Tačkama 2. i 5. su orijentacione, posebno za svaku lokaciju, i utvrđene na osnovu podataka iz RFI dokumentacije. Konačne količine utvrđuju se elaboratom montaže i geodetskim snimkom, a obračunavaju se po stvarno izvedenim količinama.</t>
        </is>
      </c>
    </row>
    <row r="24" s="92">
      <c r="A24" s="178" t="n"/>
      <c r="B24" s="179" t="inlineStr">
        <is>
          <t>- LOT 2 obuhvata montažu i uvezivanje sistema DO POTPUNE GOTOVOSTI, na obje lokacije.</t>
        </is>
      </c>
    </row>
    <row r="25" s="92">
      <c r="A25" s="178" t="n"/>
      <c r="B25" s="179" t="inlineStr">
        <is>
          <t>- Grafički prilozi za obje lokacije (situacija postojećeg i budućeg stanja, presjek, dispozicija opreme) dati su u PRILOGU III tenderske dokumentacije.</t>
        </is>
      </c>
    </row>
    <row r="26"/>
    <row r="27" ht="15" customHeight="1" s="92">
      <c r="B27" s="148" t="inlineStr">
        <is>
          <t>Datum:  ___________________________</t>
        </is>
      </c>
    </row>
    <row r="28"/>
    <row r="29" ht="15" customHeight="1" s="92">
      <c r="B29" s="182" t="inlineStr">
        <is>
          <t>Potpis i pečat Ponuđača:  ___________________________</t>
        </is>
      </c>
    </row>
  </sheetData>
  <mergeCells count="2">
    <mergeCell ref="A3:F3"/>
    <mergeCell ref="A2:F2"/>
  </mergeCells>
  <printOptions horizontalCentered="0" verticalCentered="0" headings="0" gridLines="0" gridLinesSet="1"/>
  <pageMargins left="0.7" right="0.7" top="0.75" bottom="0.75" header="0.3" footer="0.511811023622047"/>
  <pageSetup orientation="portrait" paperSize="9" fitToHeight="0" fitToWidth="1"/>
  <headerFooter differentOddEven="0" differentFirst="0">
    <oddHeader>&amp;R&amp;"Times New Roman,Regular"&amp;12 &amp;"Arial,Regular"&amp;10 [BH Telecom | &amp;"Arial,Bold"Interno&amp;"Arial,Regular"]</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en-GB</dc:language>
  <dcterms:created xmlns:dcterms="http://purl.org/dc/terms/" xmlns:xsi="http://www.w3.org/2001/XMLSchema-instance" xsi:type="dcterms:W3CDTF">2026-08-06T15:05:01Z</dcterms:created>
  <dcterms:modified xmlns:dcterms="http://purl.org/dc/terms/" xmlns:xsi="http://www.w3.org/2001/XMLSchema-instance" xsi:type="dcterms:W3CDTF">2026-09-12T01:20:21Z</dcterms:modified>
  <cp:revision>6</cp:revision>
  <cp:keywords xml:space="preserve"> [BH Telecom | Interno]</cp:keywords>
</cp:coreProperties>
</file>

<file path=docProps/custom.xml><?xml version="1.0" encoding="utf-8"?>
<Properties xmlns="http://schemas.openxmlformats.org/officeDocument/2006/custom-properties">
  <property name="bjClsUserRVM" fmtid="{D5CDD505-2E9C-101B-9397-08002B2CF9AE}" pid="2">
    <vt:lpwstr xmlns:vt="http://schemas.openxmlformats.org/officeDocument/2006/docPropsVTypes">[]</vt:lpwstr>
  </property>
  <property name="bjDocumentLabelXML" fmtid="{D5CDD505-2E9C-101B-9397-08002B2CF9AE}" pid="3">
    <vt:lpwstr xmlns:vt="http://schemas.openxmlformats.org/officeDocument/2006/docPropsVTypes">&lt;?xml version="1.0" encoding="us-ascii"?&gt;&lt;sisl xmlns:xsi="http://www.w3.org/2001/XMLSchema-instance" xmlns:xsd="http://www.w3.org/2001/XMLSchema" sislVersion="0" policy="5f91bfb2-a9c1-45d0-8517-08b1f316eb15" origin="userSelected" xmlns="http://www.boldonj</vt:lpwstr>
  </property>
  <property name="bjDocumentLabelXML-0" fmtid="{D5CDD505-2E9C-101B-9397-08002B2CF9AE}" pid="4">
    <vt:lpwstr xmlns:vt="http://schemas.openxmlformats.org/officeDocument/2006/docPropsVTypes">ames.com/2008/01/sie/internal/label"&gt;&lt;element uid="id_classification_generalbusiness" value="" /&gt;&lt;/sisl&gt;</vt:lpwstr>
  </property>
  <property name="bjDocumentSecurityLabel" fmtid="{D5CDD505-2E9C-101B-9397-08002B2CF9AE}" pid="5">
    <vt:lpwstr xmlns:vt="http://schemas.openxmlformats.org/officeDocument/2006/docPropsVTypes">Interno</vt:lpwstr>
  </property>
  <property name="bjLabelHistoryID" fmtid="{D5CDD505-2E9C-101B-9397-08002B2CF9AE}" pid="6">
    <vt:lpwstr xmlns:vt="http://schemas.openxmlformats.org/officeDocument/2006/docPropsVTypes">{740AF07F-B5FD-4336-9AA5-5B70F58EC679}</vt:lpwstr>
  </property>
  <property name="bjRightHeaderLabel" fmtid="{D5CDD505-2E9C-101B-9397-08002B2CF9AE}" pid="7">
    <vt:lpwstr xmlns:vt="http://schemas.openxmlformats.org/officeDocument/2006/docPropsVTypes">&amp;"Times New Roman,Regular"&amp;12&amp;K000000 &amp;"Arial,Regular"&amp;10&amp;K000000[BH Telecom | &amp;B&amp;K000000Interno&amp;B&amp;K000000]</vt:lpwstr>
  </property>
  <property name="bjRightHeaderLabel-even" fmtid="{D5CDD505-2E9C-101B-9397-08002B2CF9AE}" pid="8">
    <vt:lpwstr xmlns:vt="http://schemas.openxmlformats.org/officeDocument/2006/docPropsVTypes">&amp;"Times New Roman,Regular"&amp;12&amp;K000000 &amp;"Arial,Regular"&amp;10&amp;K000000[BH Telecom | &amp;B&amp;K000000Interno&amp;B&amp;K000000]</vt:lpwstr>
  </property>
  <property name="bjRightHeaderLabel-first" fmtid="{D5CDD505-2E9C-101B-9397-08002B2CF9AE}" pid="9">
    <vt:lpwstr xmlns:vt="http://schemas.openxmlformats.org/officeDocument/2006/docPropsVTypes">&amp;"Times New Roman,Regular"&amp;12&amp;K000000 &amp;"Arial,Regular"&amp;10&amp;K000000[BH Telecom | &amp;B&amp;K000000Interno&amp;B&amp;K000000]</vt:lpwstr>
  </property>
  <property name="bjSaver" fmtid="{D5CDD505-2E9C-101B-9397-08002B2CF9AE}" pid="10">
    <vt:lpwstr xmlns:vt="http://schemas.openxmlformats.org/officeDocument/2006/docPropsVTypes">PBKzKNjp5eaEU3tBjVgEWI+fS8Y9fUcj</vt:lpwstr>
  </property>
  <property name="docIndexRef" fmtid="{D5CDD505-2E9C-101B-9397-08002B2CF9AE}" pid="11">
    <vt:lpwstr xmlns:vt="http://schemas.openxmlformats.org/officeDocument/2006/docPropsVTypes">8fb2bdcd-5e0f-4d13-acfc-f618c7274118</vt:lpwstr>
  </property>
</Properties>
</file>