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LOT 1 Sjednica" sheetId="1" state="visible" r:id="rId1"/>
    <sheet xmlns:r="http://schemas.openxmlformats.org/officeDocument/2006/relationships" name="LOT 1 Hamzići" sheetId="2" state="visible" r:id="rId2"/>
    <sheet xmlns:r="http://schemas.openxmlformats.org/officeDocument/2006/relationships" name="LOT 2 Sjednica" sheetId="3" state="visible" r:id="rId3"/>
    <sheet xmlns:r="http://schemas.openxmlformats.org/officeDocument/2006/relationships" name="LOT 2 Hamzići" sheetId="4" state="visible" r:id="rId4"/>
    <sheet xmlns:r="http://schemas.openxmlformats.org/officeDocument/2006/relationships" name="REKAPITULACIJA" sheetId="5" state="visible" r:id="rId5"/>
  </sheets>
  <definedNames>
    <definedName name="_xlnm.Print_Titles" localSheetId="0">'LOT 1 Sjednica'!$8:$9</definedName>
    <definedName name="_xlnm.Print_Area" localSheetId="0">'LOT 1 Sjednica'!$A$1:$F$29</definedName>
    <definedName name="_xlnm.Print_Titles" localSheetId="1">'LOT 1 Hamzići'!$8:$9</definedName>
    <definedName name="_xlnm.Print_Area" localSheetId="1">'LOT 1 Hamzići'!$A$1:$F$30</definedName>
    <definedName name="_xlnm.Print_Titles" localSheetId="2">'LOT 2 Sjednica'!$8:$9</definedName>
    <definedName name="_xlnm.Print_Area" localSheetId="2">'LOT 2 Sjednica'!$A$1:$F$66</definedName>
    <definedName name="_xlnm.Print_Titles" localSheetId="3">'LOT 2 Hamzići'!$8:$9</definedName>
    <definedName name="_xlnm.Print_Area" localSheetId="3">'LOT 2 Hamzići'!$A$1:$F$67</definedName>
    <definedName name="_xlnm.Print_Area" localSheetId="4">'REKAPITULACIJA'!$A$1:$F$33</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0&quot; KM&quot;"/>
  </numFmts>
  <fonts count="21">
    <font>
      <name val="Calibri"/>
      <charset val="1"/>
      <family val="2"/>
      <color theme="1"/>
      <sz val="11"/>
    </font>
    <font>
      <name val="Arial"/>
      <family val="0"/>
      <sz val="10"/>
    </font>
    <font>
      <name val="Arial"/>
      <family val="0"/>
      <sz val="10"/>
    </font>
    <font>
      <name val="Arial"/>
      <family val="0"/>
      <sz val="10"/>
    </font>
    <font>
      <name val="Arial"/>
      <charset val="238"/>
      <family val="2"/>
      <b val="1"/>
      <sz val="11"/>
    </font>
    <font>
      <name val="Arial"/>
      <charset val="238"/>
      <family val="2"/>
      <sz val="11"/>
    </font>
    <font>
      <name val="Arial"/>
      <charset val="1"/>
      <family val="0"/>
      <i val="1"/>
      <sz val="9"/>
    </font>
    <font>
      <name val="Arial"/>
      <charset val="1"/>
      <family val="0"/>
      <b val="1"/>
      <sz val="9"/>
    </font>
    <font>
      <name val="Arial"/>
      <charset val="1"/>
      <family val="0"/>
      <b val="1"/>
      <sz val="10"/>
    </font>
    <font>
      <name val="Arial"/>
      <charset val="1"/>
      <family val="0"/>
      <sz val="9"/>
    </font>
    <font>
      <name val="Arial"/>
      <charset val="238"/>
      <family val="2"/>
      <sz val="9"/>
    </font>
    <font>
      <name val="Arial"/>
      <charset val="238"/>
      <family val="2"/>
      <b val="1"/>
      <sz val="10"/>
    </font>
    <font>
      <name val="Cambria"/>
      <charset val="1"/>
      <family val="0"/>
      <b val="1"/>
      <sz val="10"/>
    </font>
    <font>
      <name val="Cambria"/>
      <charset val="1"/>
      <family val="0"/>
      <sz val="10"/>
    </font>
    <font>
      <name val="Arial"/>
      <charset val="1"/>
      <family val="2"/>
      <color theme="1"/>
      <sz val="11"/>
    </font>
    <font>
      <name val="Arial"/>
      <charset val="1"/>
      <family val="2"/>
      <sz val="9"/>
    </font>
    <font>
      <name val="Arial"/>
      <charset val="1"/>
      <family val="2"/>
      <i val="1"/>
      <sz val="9"/>
    </font>
    <font>
      <name val="Arial"/>
      <charset val="1"/>
      <family val="2"/>
      <b val="1"/>
      <sz val="9"/>
    </font>
    <font>
      <name val="Arial"/>
      <charset val="1"/>
      <family val="2"/>
      <b val="1"/>
      <sz val="10"/>
    </font>
    <font>
      <name val="Arial"/>
      <charset val="1"/>
      <family val="2"/>
      <color theme="1"/>
      <sz val="9"/>
    </font>
    <font>
      <name val="Arial"/>
      <charset val="238"/>
      <family val="2"/>
      <b val="1"/>
      <sz val="9"/>
    </font>
  </fonts>
  <fills count="8">
    <fill>
      <patternFill/>
    </fill>
    <fill>
      <patternFill patternType="gray125"/>
    </fill>
    <fill>
      <patternFill patternType="solid">
        <fgColor rgb="FFE8E8E8"/>
        <bgColor rgb="FFEBF1DE"/>
      </patternFill>
    </fill>
    <fill>
      <patternFill patternType="solid">
        <fgColor theme="6" tint="0.7999000000000001"/>
        <bgColor rgb="FFE8E8E8"/>
      </patternFill>
    </fill>
    <fill>
      <patternFill patternType="solid">
        <fgColor rgb="FFFFFF00"/>
        <bgColor rgb="FFFFFF00"/>
      </patternFill>
    </fill>
    <fill>
      <patternFill patternType="solid">
        <fgColor rgb="FFD9D9D9"/>
        <bgColor rgb="FFE8E8E8"/>
      </patternFill>
    </fill>
    <fill>
      <patternFill patternType="solid">
        <fgColor rgb="FFDCEEDC"/>
        <bgColor rgb="FFEBF1DE"/>
      </patternFill>
    </fill>
    <fill>
      <patternFill patternType="solid">
        <fgColor rgb="FFF8DEDE"/>
        <bgColor rgb="FFE8E8E8"/>
      </patternFill>
    </fill>
  </fills>
  <borders count="24">
    <border>
      <left/>
      <right/>
      <top/>
      <bottom/>
      <diagonal/>
    </border>
    <border>
      <left style="thin"/>
      <right style="thin">
        <color rgb="FF808080"/>
      </right>
      <top style="thin"/>
      <bottom/>
      <diagonal/>
    </border>
    <border>
      <left style="thin">
        <color rgb="FF808080"/>
      </left>
      <right style="thin">
        <color rgb="FF808080"/>
      </right>
      <top style="thin"/>
      <bottom/>
      <diagonal/>
    </border>
    <border>
      <left style="thin">
        <color rgb="FF808080"/>
      </left>
      <right style="thin"/>
      <top style="thin"/>
      <bottom/>
      <diagonal/>
    </border>
    <border>
      <left style="thin"/>
      <right style="thin"/>
      <top style="thin"/>
      <bottom style="thin"/>
      <diagonal/>
    </border>
    <border>
      <left style="thin"/>
      <right/>
      <top style="thin"/>
      <bottom style="thin"/>
      <diagonal/>
    </border>
    <border>
      <left/>
      <right/>
      <top style="thin"/>
      <bottom style="thin"/>
      <diagonal/>
    </border>
    <border>
      <left/>
      <right style="thin"/>
      <top style="thin"/>
      <bottom style="thin"/>
      <diagonal/>
    </border>
    <border>
      <left style="thin"/>
      <right/>
      <top/>
      <bottom/>
      <diagonal/>
    </border>
    <border>
      <left style="thin"/>
      <right/>
      <top/>
      <bottom style="thin"/>
      <diagonal/>
    </border>
    <border>
      <left/>
      <right/>
      <top/>
      <bottom style="thin"/>
      <diagonal/>
    </border>
    <border>
      <left/>
      <right style="thin"/>
      <top/>
      <bottom style="thin"/>
      <diagonal/>
    </border>
    <border>
      <left style="thin"/>
      <right style="thin"/>
      <top style="thin"/>
      <bottom/>
      <diagonal/>
    </border>
    <border>
      <left style="thin"/>
      <right style="thin">
        <color rgb="FF808080"/>
      </right>
      <top style="thin"/>
      <bottom style="thin"/>
      <diagonal/>
    </border>
    <border>
      <left/>
      <right style="thin">
        <color rgb="FF808080"/>
      </right>
      <top style="thin"/>
      <bottom style="thin"/>
      <diagonal/>
    </border>
    <border>
      <left style="thin">
        <color rgb="FF808080"/>
      </left>
      <right style="thin"/>
      <top/>
      <bottom style="thin"/>
      <diagonal/>
    </border>
    <border>
      <left style="thin">
        <color rgb="FF808080"/>
      </left>
      <right style="thin">
        <color rgb="FF808080"/>
      </right>
      <top style="thin">
        <color rgb="FF808080"/>
      </top>
      <bottom style="thin">
        <color rgb="FF808080"/>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
      <left style="thin">
        <color rgb="FF808080"/>
      </left>
      <right style="thin">
        <color rgb="FF808080"/>
      </right>
      <top style="thin"/>
      <bottom style="thin"/>
      <diagonal/>
    </border>
    <border>
      <left style="thin">
        <color rgb="FF808080"/>
      </left>
      <right style="thin"/>
      <top style="thin"/>
      <bottom style="thin"/>
      <diagonal/>
    </border>
    <border>
      <left style="thin">
        <color rgb="FF808080"/>
      </left>
      <right/>
      <top style="thin"/>
      <bottom style="thin">
        <color rgb="FF808080"/>
      </bottom>
      <diagonal/>
    </border>
    <border>
      <left/>
      <right/>
      <top style="thin"/>
      <bottom style="thin">
        <color rgb="FF808080"/>
      </bottom>
      <diagonal/>
    </border>
    <border>
      <left/>
      <right style="thin">
        <color rgb="FF808080"/>
      </right>
      <top style="thin"/>
      <bottom style="thin">
        <color rgb="FF80808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8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4" fillId="0" borderId="0" applyAlignment="1" pivotButton="0" quotePrefix="0" xfId="0">
      <alignment horizontal="center" vertical="bottom"/>
    </xf>
    <xf numFmtId="0" fontId="5" fillId="0" borderId="0" applyAlignment="1" pivotButton="0" quotePrefix="0" xfId="0">
      <alignment horizontal="general" vertical="bottom"/>
    </xf>
    <xf numFmtId="0" fontId="6" fillId="0" borderId="1" applyAlignment="1" pivotButton="0" quotePrefix="0" xfId="0">
      <alignment horizontal="center" vertical="center"/>
    </xf>
    <xf numFmtId="0" fontId="6" fillId="0" borderId="2" applyAlignment="1" pivotButton="0" quotePrefix="0" xfId="0">
      <alignment horizontal="center" vertical="center" wrapText="1"/>
    </xf>
    <xf numFmtId="0" fontId="6" fillId="0" borderId="2" applyAlignment="1" pivotButton="0" quotePrefix="0" xfId="0">
      <alignment horizontal="center" vertical="center"/>
    </xf>
    <xf numFmtId="0" fontId="6" fillId="0" borderId="3" applyAlignment="1" pivotButton="0" quotePrefix="0" xfId="0">
      <alignment horizontal="center" vertical="center"/>
    </xf>
    <xf numFmtId="0" fontId="7" fillId="2" borderId="4" applyAlignment="1" pivotButton="0" quotePrefix="0" xfId="0">
      <alignment horizontal="center" vertical="center" wrapText="1"/>
    </xf>
    <xf numFmtId="0" fontId="7" fillId="2" borderId="4" applyAlignment="1" pivotButton="0" quotePrefix="0" xfId="0">
      <alignment horizontal="general" vertical="center" wrapText="1"/>
    </xf>
    <xf numFmtId="0" fontId="0" fillId="3" borderId="5" applyAlignment="1" pivotButton="0" quotePrefix="0" xfId="0">
      <alignment horizontal="general" vertical="bottom"/>
    </xf>
    <xf numFmtId="0" fontId="8" fillId="3" borderId="5" applyAlignment="1" pivotButton="0" quotePrefix="0" xfId="0">
      <alignment horizontal="general" vertical="center"/>
    </xf>
    <xf numFmtId="0" fontId="0" fillId="3" borderId="6" applyAlignment="1" pivotButton="0" quotePrefix="0" xfId="0">
      <alignment horizontal="general" vertical="center"/>
    </xf>
    <xf numFmtId="0" fontId="8" fillId="3" borderId="6" applyAlignment="1" pivotButton="0" quotePrefix="0" xfId="0">
      <alignment horizontal="right" vertical="center"/>
    </xf>
    <xf numFmtId="164" fontId="8" fillId="3" borderId="7" applyAlignment="1" pivotButton="0" quotePrefix="0" xfId="0">
      <alignment horizontal="center" vertical="center"/>
    </xf>
    <xf numFmtId="0" fontId="7" fillId="2" borderId="8" applyAlignment="1" pivotButton="0" quotePrefix="0" xfId="0">
      <alignment horizontal="center" vertical="center"/>
    </xf>
    <xf numFmtId="0" fontId="7" fillId="2" borderId="9" applyAlignment="1" pivotButton="0" quotePrefix="0" xfId="0">
      <alignment horizontal="general" vertical="center" wrapText="1"/>
    </xf>
    <xf numFmtId="0" fontId="0" fillId="2" borderId="10" applyAlignment="1" pivotButton="0" quotePrefix="0" xfId="0">
      <alignment horizontal="general" vertical="center"/>
    </xf>
    <xf numFmtId="0" fontId="0" fillId="2" borderId="11" applyAlignment="1" pivotButton="0" quotePrefix="0" xfId="0">
      <alignment horizontal="general" vertical="center"/>
    </xf>
    <xf numFmtId="0" fontId="9" fillId="0" borderId="12" applyAlignment="1" pivotButton="0" quotePrefix="0" xfId="0">
      <alignment horizontal="center" vertical="center"/>
    </xf>
    <xf numFmtId="0" fontId="10" fillId="4" borderId="12" applyAlignment="1" pivotButton="0" quotePrefix="0" xfId="0">
      <alignment horizontal="general" vertical="top" wrapText="1"/>
    </xf>
    <xf numFmtId="0" fontId="9" fillId="4" borderId="12" applyAlignment="1" pivotButton="0" quotePrefix="0" xfId="0">
      <alignment horizontal="center" vertical="center"/>
    </xf>
    <xf numFmtId="4" fontId="0" fillId="0" borderId="12" applyAlignment="1" pivotButton="0" quotePrefix="0" xfId="0">
      <alignment horizontal="general" vertical="bottom"/>
    </xf>
    <xf numFmtId="0" fontId="9" fillId="0" borderId="4" applyAlignment="1" pivotButton="0" quotePrefix="0" xfId="0">
      <alignment horizontal="center" vertical="center"/>
    </xf>
    <xf numFmtId="0" fontId="9" fillId="4" borderId="4" applyAlignment="1" pivotButton="0" quotePrefix="0" xfId="0">
      <alignment horizontal="general" vertical="top" wrapText="1"/>
    </xf>
    <xf numFmtId="0" fontId="9" fillId="4" borderId="4" applyAlignment="1" pivotButton="0" quotePrefix="0" xfId="0">
      <alignment horizontal="center" vertical="center"/>
    </xf>
    <xf numFmtId="4" fontId="0" fillId="0" borderId="4" applyAlignment="1" pivotButton="0" quotePrefix="0" xfId="0">
      <alignment horizontal="general" vertical="bottom"/>
    </xf>
    <xf numFmtId="0" fontId="10" fillId="4" borderId="4" applyAlignment="1" pivotButton="0" quotePrefix="0" xfId="0">
      <alignment horizontal="general" vertical="top" wrapText="1"/>
    </xf>
    <xf numFmtId="0" fontId="0" fillId="0" borderId="0" applyAlignment="1" pivotButton="0" quotePrefix="0" xfId="0">
      <alignment horizontal="general" vertical="top" wrapText="1"/>
    </xf>
    <xf numFmtId="0" fontId="11" fillId="5" borderId="13" applyAlignment="1" pivotButton="0" quotePrefix="0" xfId="0">
      <alignment horizontal="right" vertical="center"/>
    </xf>
    <xf numFmtId="0" fontId="0" fillId="0" borderId="6" applyAlignment="1" pivotButton="0" quotePrefix="0" xfId="0">
      <alignment horizontal="general" vertical="bottom"/>
    </xf>
    <xf numFmtId="0" fontId="0" fillId="0" borderId="14" applyAlignment="1" pivotButton="0" quotePrefix="0" xfId="0">
      <alignment horizontal="general" vertical="bottom"/>
    </xf>
    <xf numFmtId="4" fontId="11" fillId="5" borderId="15" applyAlignment="1" pivotButton="0" quotePrefix="0" xfId="0">
      <alignment horizontal="general" vertical="bottom"/>
    </xf>
    <xf numFmtId="0" fontId="7" fillId="2" borderId="16" applyAlignment="1" pivotButton="0" quotePrefix="0" xfId="0">
      <alignment horizontal="center" vertical="center"/>
    </xf>
    <xf numFmtId="0" fontId="7" fillId="2" borderId="16" applyAlignment="1" pivotButton="0" quotePrefix="0" xfId="0">
      <alignment horizontal="general" vertical="top" wrapText="1"/>
    </xf>
    <xf numFmtId="0" fontId="0" fillId="2" borderId="16" applyAlignment="1" pivotButton="0" quotePrefix="0" xfId="0">
      <alignment horizontal="general" vertical="bottom"/>
    </xf>
    <xf numFmtId="0" fontId="9" fillId="0" borderId="16" applyAlignment="1" pivotButton="0" quotePrefix="0" xfId="0">
      <alignment horizontal="center" vertical="center"/>
    </xf>
    <xf numFmtId="0" fontId="10" fillId="4" borderId="16" applyAlignment="1" pivotButton="0" quotePrefix="0" xfId="0">
      <alignment horizontal="general" vertical="top" wrapText="1"/>
    </xf>
    <xf numFmtId="0" fontId="9" fillId="4" borderId="16" applyAlignment="1" pivotButton="0" quotePrefix="0" xfId="0">
      <alignment horizontal="center" vertical="center"/>
    </xf>
    <xf numFmtId="4" fontId="0" fillId="0" borderId="16" applyAlignment="1" pivotButton="0" quotePrefix="0" xfId="0">
      <alignment horizontal="general" vertical="bottom"/>
    </xf>
    <xf numFmtId="0" fontId="9" fillId="4" borderId="16" applyAlignment="1" pivotButton="0" quotePrefix="0" xfId="0">
      <alignment horizontal="general" vertical="top" wrapText="1"/>
    </xf>
    <xf numFmtId="0" fontId="0" fillId="4" borderId="0" applyAlignment="1" pivotButton="0" quotePrefix="0" xfId="0">
      <alignment horizontal="general" vertical="top" wrapText="1"/>
    </xf>
    <xf numFmtId="0" fontId="0" fillId="4" borderId="0" applyAlignment="1" pivotButton="0" quotePrefix="0" xfId="0">
      <alignment horizontal="general" vertical="bottom"/>
    </xf>
    <xf numFmtId="0" fontId="7" fillId="5" borderId="16" applyAlignment="1" pivotButton="0" quotePrefix="0" xfId="0">
      <alignment horizontal="right" vertical="center"/>
    </xf>
    <xf numFmtId="0" fontId="0" fillId="0" borderId="17" applyAlignment="1" pivotButton="0" quotePrefix="0" xfId="0">
      <alignment horizontal="general" vertical="bottom"/>
    </xf>
    <xf numFmtId="0" fontId="0" fillId="0" borderId="18" applyAlignment="1" pivotButton="0" quotePrefix="0" xfId="0">
      <alignment horizontal="general" vertical="bottom"/>
    </xf>
    <xf numFmtId="4" fontId="7" fillId="5" borderId="16" applyAlignment="1" pivotButton="0" quotePrefix="0" xfId="0">
      <alignment horizontal="general" vertical="bottom"/>
    </xf>
    <xf numFmtId="0" fontId="8" fillId="6" borderId="16" applyAlignment="1" pivotButton="0" quotePrefix="0" xfId="0">
      <alignment horizontal="right" vertical="center"/>
    </xf>
    <xf numFmtId="4" fontId="8" fillId="6" borderId="16" applyAlignment="1" pivotButton="0" quotePrefix="0" xfId="0">
      <alignment horizontal="general" vertical="bottom"/>
    </xf>
    <xf numFmtId="0" fontId="12" fillId="0" borderId="4" applyAlignment="1" pivotButton="0" quotePrefix="0" xfId="0">
      <alignment horizontal="left" vertical="center"/>
    </xf>
    <xf numFmtId="0" fontId="0" fillId="0" borderId="7" applyAlignment="1" pivotButton="0" quotePrefix="0" xfId="0">
      <alignment horizontal="general" vertical="bottom"/>
    </xf>
    <xf numFmtId="4" fontId="12" fillId="0" borderId="4" applyAlignment="1" pivotButton="0" quotePrefix="0" xfId="0">
      <alignment horizontal="general" vertical="bottom"/>
    </xf>
    <xf numFmtId="0" fontId="13" fillId="0" borderId="4" applyAlignment="1" pivotButton="0" quotePrefix="0" xfId="0">
      <alignment horizontal="left" vertical="center"/>
    </xf>
    <xf numFmtId="4" fontId="13" fillId="0" borderId="4" applyAlignment="1" pivotButton="0" quotePrefix="0" xfId="0">
      <alignment horizontal="general" vertical="bottom"/>
    </xf>
    <xf numFmtId="0" fontId="0" fillId="0" borderId="0" applyAlignment="1" pivotButton="0" quotePrefix="0" xfId="0">
      <alignment horizontal="general" vertical="bottom"/>
    </xf>
    <xf numFmtId="0" fontId="14" fillId="0" borderId="0" applyAlignment="1" pivotButton="0" quotePrefix="0" xfId="0">
      <alignment horizontal="general" vertical="bottom"/>
    </xf>
    <xf numFmtId="0" fontId="0" fillId="0" borderId="0" applyAlignment="1" pivotButton="0" quotePrefix="0" xfId="0">
      <alignment horizontal="center" vertical="bottom"/>
    </xf>
    <xf numFmtId="0" fontId="15" fillId="0" borderId="0" applyAlignment="1" pivotButton="0" quotePrefix="0" xfId="0">
      <alignment horizontal="general" vertical="bottom"/>
    </xf>
    <xf numFmtId="0" fontId="16" fillId="0" borderId="2" applyAlignment="1" pivotButton="0" quotePrefix="0" xfId="0">
      <alignment horizontal="center" vertical="center" wrapText="1"/>
    </xf>
    <xf numFmtId="0" fontId="7" fillId="2" borderId="13" applyAlignment="1" pivotButton="0" quotePrefix="0" xfId="0">
      <alignment horizontal="center" vertical="center" wrapText="1"/>
    </xf>
    <xf numFmtId="0" fontId="17" fillId="2" borderId="19" applyAlignment="1" pivotButton="0" quotePrefix="0" xfId="0">
      <alignment horizontal="general" vertical="center" wrapText="1"/>
    </xf>
    <xf numFmtId="0" fontId="7" fillId="2" borderId="19" applyAlignment="1" pivotButton="0" quotePrefix="0" xfId="0">
      <alignment horizontal="center" vertical="center" wrapText="1"/>
    </xf>
    <xf numFmtId="0" fontId="7" fillId="2" borderId="20" applyAlignment="1" pivotButton="0" quotePrefix="0" xfId="0">
      <alignment horizontal="center" vertical="center" wrapText="1"/>
    </xf>
    <xf numFmtId="0" fontId="11" fillId="7" borderId="21" applyAlignment="1" pivotButton="0" quotePrefix="0" xfId="0">
      <alignment horizontal="general" vertical="center"/>
    </xf>
    <xf numFmtId="0" fontId="18" fillId="7" borderId="21" applyAlignment="1" pivotButton="0" quotePrefix="0" xfId="0">
      <alignment horizontal="general" vertical="center"/>
    </xf>
    <xf numFmtId="0" fontId="11" fillId="7" borderId="22" applyAlignment="1" pivotButton="0" quotePrefix="0" xfId="0">
      <alignment horizontal="center" vertical="center"/>
    </xf>
    <xf numFmtId="0" fontId="11" fillId="7" borderId="22" applyAlignment="1" pivotButton="0" quotePrefix="0" xfId="0">
      <alignment horizontal="general" vertical="center"/>
    </xf>
    <xf numFmtId="0" fontId="11" fillId="7" borderId="23" applyAlignment="1" pivotButton="0" quotePrefix="0" xfId="0">
      <alignment horizontal="general" vertical="center"/>
    </xf>
    <xf numFmtId="0" fontId="17" fillId="2" borderId="16" applyAlignment="1" pivotButton="0" quotePrefix="0" xfId="0">
      <alignment horizontal="general" vertical="top" wrapText="1"/>
    </xf>
    <xf numFmtId="0" fontId="0" fillId="2" borderId="16" applyAlignment="1" pivotButton="0" quotePrefix="0" xfId="0">
      <alignment horizontal="center" vertical="bottom"/>
    </xf>
    <xf numFmtId="0" fontId="15" fillId="0" borderId="16" applyAlignment="1" pivotButton="0" quotePrefix="0" xfId="0">
      <alignment horizontal="general" vertical="top" wrapText="1"/>
    </xf>
    <xf numFmtId="0" fontId="0" fillId="0" borderId="16" applyAlignment="1" pivotButton="0" quotePrefix="0" xfId="0">
      <alignment horizontal="general" vertical="bottom"/>
    </xf>
    <xf numFmtId="0" fontId="16" fillId="0" borderId="16" applyAlignment="1" pivotButton="0" quotePrefix="0" xfId="0">
      <alignment horizontal="general" vertical="top" wrapText="1"/>
    </xf>
    <xf numFmtId="0" fontId="0" fillId="0" borderId="16" applyAlignment="1" pivotButton="0" quotePrefix="0" xfId="0">
      <alignment horizontal="center" vertical="bottom"/>
    </xf>
    <xf numFmtId="0" fontId="19" fillId="0" borderId="0" applyAlignment="1" pivotButton="0" quotePrefix="0" xfId="0">
      <alignment horizontal="general" vertical="top" wrapText="1"/>
    </xf>
    <xf numFmtId="0" fontId="20" fillId="5" borderId="16" applyAlignment="1" pivotButton="0" quotePrefix="0" xfId="0">
      <alignment horizontal="right" vertical="center"/>
    </xf>
    <xf numFmtId="0" fontId="17" fillId="5" borderId="16" applyAlignment="1" pivotButton="0" quotePrefix="0" xfId="0">
      <alignment horizontal="right" vertical="center"/>
    </xf>
    <xf numFmtId="0" fontId="0" fillId="0" borderId="17" applyAlignment="1" pivotButton="0" quotePrefix="0" xfId="0">
      <alignment horizontal="center" vertical="bottom"/>
    </xf>
    <xf numFmtId="0" fontId="14" fillId="0" borderId="17" applyAlignment="1" pivotButton="0" quotePrefix="0" xfId="0">
      <alignment horizontal="general" vertical="bottom"/>
    </xf>
    <xf numFmtId="0" fontId="8" fillId="7" borderId="16" applyAlignment="1" pivotButton="0" quotePrefix="0" xfId="0">
      <alignment horizontal="right" vertical="center"/>
    </xf>
    <xf numFmtId="0" fontId="18" fillId="7" borderId="16" applyAlignment="1" pivotButton="0" quotePrefix="0" xfId="0">
      <alignment horizontal="right" vertical="center"/>
    </xf>
    <xf numFmtId="4" fontId="8" fillId="7" borderId="16" applyAlignment="1" pivotButton="0" quotePrefix="0" xfId="0">
      <alignment horizontal="general" vertical="bottom"/>
    </xf>
    <xf numFmtId="0" fontId="8" fillId="2" borderId="16" applyAlignment="1" pivotButton="0" quotePrefix="0" xfId="0">
      <alignment horizontal="center" vertical="center"/>
    </xf>
    <xf numFmtId="0" fontId="18" fillId="2" borderId="16" applyAlignment="1" pivotButton="0" quotePrefix="0" xfId="0">
      <alignment horizontal="center" vertical="center"/>
    </xf>
    <xf numFmtId="0" fontId="14" fillId="0" borderId="16" applyAlignment="1" pivotButton="0" quotePrefix="0" xfId="0">
      <alignment horizontal="general" vertical="bottom"/>
    </xf>
    <xf numFmtId="0" fontId="7" fillId="0" borderId="0" applyAlignment="1" pivotButton="0" quotePrefix="0" xfId="0">
      <alignment horizontal="general" vertical="top" wrapText="1"/>
    </xf>
    <xf numFmtId="0" fontId="17" fillId="0" borderId="0" applyAlignment="1" pivotButton="0" quotePrefix="0" xfId="0">
      <alignment horizontal="general" vertical="top" wrapText="1"/>
    </xf>
    <xf numFmtId="0" fontId="6" fillId="0" borderId="0" applyAlignment="1" pivotButton="0" quotePrefix="0" xfId="0">
      <alignment horizontal="general" vertical="top" wrapText="1"/>
    </xf>
    <xf numFmtId="0" fontId="16" fillId="0" borderId="0" applyAlignment="1" pivotButton="0" quotePrefix="0" xfId="0">
      <alignment horizontal="general" vertical="top" wrapText="1"/>
    </xf>
    <xf numFmtId="0" fontId="9"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4" fillId="0" borderId="0" applyAlignment="1" pivotButton="0" quotePrefix="0" xfId="0">
      <alignment horizontal="center" vertical="bottom"/>
    </xf>
    <xf numFmtId="0" fontId="5" fillId="0" borderId="0" applyAlignment="1" pivotButton="0" quotePrefix="0" xfId="0">
      <alignment horizontal="general" vertical="bottom"/>
    </xf>
    <xf numFmtId="0" fontId="6" fillId="0" borderId="1" applyAlignment="1" pivotButton="0" quotePrefix="0" xfId="0">
      <alignment horizontal="center" vertical="center"/>
    </xf>
    <xf numFmtId="0" fontId="6" fillId="0" borderId="2" applyAlignment="1" pivotButton="0" quotePrefix="0" xfId="0">
      <alignment horizontal="center" vertical="center" wrapText="1"/>
    </xf>
    <xf numFmtId="0" fontId="6" fillId="0" borderId="2" applyAlignment="1" pivotButton="0" quotePrefix="0" xfId="0">
      <alignment horizontal="center" vertical="center"/>
    </xf>
    <xf numFmtId="0" fontId="6" fillId="0" borderId="3" applyAlignment="1" pivotButton="0" quotePrefix="0" xfId="0">
      <alignment horizontal="center" vertical="center"/>
    </xf>
    <xf numFmtId="0" fontId="7" fillId="2" borderId="4" applyAlignment="1" pivotButton="0" quotePrefix="0" xfId="0">
      <alignment horizontal="center" vertical="center" wrapText="1"/>
    </xf>
    <xf numFmtId="0" fontId="7" fillId="2" borderId="4" applyAlignment="1" pivotButton="0" quotePrefix="0" xfId="0">
      <alignment horizontal="general" vertical="center" wrapText="1"/>
    </xf>
    <xf numFmtId="0" fontId="0" fillId="3" borderId="5" applyAlignment="1" pivotButton="0" quotePrefix="0" xfId="0">
      <alignment horizontal="general" vertical="bottom"/>
    </xf>
    <xf numFmtId="0" fontId="8" fillId="3" borderId="5" applyAlignment="1" pivotButton="0" quotePrefix="0" xfId="0">
      <alignment horizontal="general" vertical="center"/>
    </xf>
    <xf numFmtId="0" fontId="0" fillId="3" borderId="6" applyAlignment="1" pivotButton="0" quotePrefix="0" xfId="0">
      <alignment horizontal="general" vertical="center"/>
    </xf>
    <xf numFmtId="0" fontId="8" fillId="3" borderId="6" applyAlignment="1" pivotButton="0" quotePrefix="0" xfId="0">
      <alignment horizontal="right" vertical="center"/>
    </xf>
    <xf numFmtId="164" fontId="8" fillId="3" borderId="7" applyAlignment="1" pivotButton="0" quotePrefix="0" xfId="0">
      <alignment horizontal="center" vertical="center"/>
    </xf>
    <xf numFmtId="0" fontId="7" fillId="2" borderId="8" applyAlignment="1" pivotButton="0" quotePrefix="0" xfId="0">
      <alignment horizontal="center" vertical="center"/>
    </xf>
    <xf numFmtId="0" fontId="7" fillId="2" borderId="9" applyAlignment="1" pivotButton="0" quotePrefix="0" xfId="0">
      <alignment horizontal="general" vertical="center" wrapText="1"/>
    </xf>
    <xf numFmtId="0" fontId="0" fillId="2" borderId="10" applyAlignment="1" pivotButton="0" quotePrefix="0" xfId="0">
      <alignment horizontal="general" vertical="center"/>
    </xf>
    <xf numFmtId="0" fontId="0" fillId="2" borderId="11" applyAlignment="1" pivotButton="0" quotePrefix="0" xfId="0">
      <alignment horizontal="general" vertical="center"/>
    </xf>
    <xf numFmtId="0" fontId="9" fillId="0" borderId="12" applyAlignment="1" pivotButton="0" quotePrefix="0" xfId="0">
      <alignment horizontal="center" vertical="center"/>
    </xf>
    <xf numFmtId="0" fontId="10" fillId="4" borderId="12" applyAlignment="1" pivotButton="0" quotePrefix="0" xfId="0">
      <alignment horizontal="general" vertical="top" wrapText="1"/>
    </xf>
    <xf numFmtId="0" fontId="9" fillId="4" borderId="12" applyAlignment="1" pivotButton="0" quotePrefix="0" xfId="0">
      <alignment horizontal="center" vertical="center"/>
    </xf>
    <xf numFmtId="4" fontId="0" fillId="0" borderId="12" applyAlignment="1" pivotButton="0" quotePrefix="0" xfId="0">
      <alignment horizontal="general" vertical="bottom"/>
    </xf>
    <xf numFmtId="0" fontId="9" fillId="0" borderId="4" applyAlignment="1" pivotButton="0" quotePrefix="0" xfId="0">
      <alignment horizontal="center" vertical="center"/>
    </xf>
    <xf numFmtId="0" fontId="9" fillId="4" borderId="4" applyAlignment="1" pivotButton="0" quotePrefix="0" xfId="0">
      <alignment horizontal="general" vertical="top" wrapText="1"/>
    </xf>
    <xf numFmtId="0" fontId="9" fillId="4" borderId="4" applyAlignment="1" pivotButton="0" quotePrefix="0" xfId="0">
      <alignment horizontal="center" vertical="center"/>
    </xf>
    <xf numFmtId="4" fontId="0" fillId="0" borderId="4" applyAlignment="1" pivotButton="0" quotePrefix="0" xfId="0">
      <alignment horizontal="general" vertical="bottom"/>
    </xf>
    <xf numFmtId="0" fontId="10" fillId="4" borderId="4" applyAlignment="1" pivotButton="0" quotePrefix="0" xfId="0">
      <alignment horizontal="general" vertical="top" wrapText="1"/>
    </xf>
    <xf numFmtId="0" fontId="0" fillId="0" borderId="0" applyAlignment="1" pivotButton="0" quotePrefix="0" xfId="0">
      <alignment horizontal="general" vertical="top" wrapText="1"/>
    </xf>
    <xf numFmtId="0" fontId="11" fillId="5" borderId="13" applyAlignment="1" pivotButton="0" quotePrefix="0" xfId="0">
      <alignment horizontal="right" vertical="center"/>
    </xf>
    <xf numFmtId="0" fontId="0" fillId="0" borderId="6" applyAlignment="1" pivotButton="0" quotePrefix="0" xfId="0">
      <alignment horizontal="general" vertical="bottom"/>
    </xf>
    <xf numFmtId="0" fontId="0" fillId="0" borderId="14" applyAlignment="1" pivotButton="0" quotePrefix="0" xfId="0">
      <alignment horizontal="general" vertical="bottom"/>
    </xf>
    <xf numFmtId="4" fontId="11" fillId="5" borderId="15" applyAlignment="1" pivotButton="0" quotePrefix="0" xfId="0">
      <alignment horizontal="general" vertical="bottom"/>
    </xf>
    <xf numFmtId="0" fontId="7" fillId="2" borderId="16" applyAlignment="1" pivotButton="0" quotePrefix="0" xfId="0">
      <alignment horizontal="center" vertical="center"/>
    </xf>
    <xf numFmtId="0" fontId="7" fillId="2" borderId="16" applyAlignment="1" pivotButton="0" quotePrefix="0" xfId="0">
      <alignment horizontal="general" vertical="top" wrapText="1"/>
    </xf>
    <xf numFmtId="0" fontId="0" fillId="2" borderId="16" applyAlignment="1" pivotButton="0" quotePrefix="0" xfId="0">
      <alignment horizontal="general" vertical="bottom"/>
    </xf>
    <xf numFmtId="0" fontId="9" fillId="0" borderId="16" applyAlignment="1" pivotButton="0" quotePrefix="0" xfId="0">
      <alignment horizontal="center" vertical="center"/>
    </xf>
    <xf numFmtId="0" fontId="10" fillId="4" borderId="16" applyAlignment="1" pivotButton="0" quotePrefix="0" xfId="0">
      <alignment horizontal="general" vertical="top" wrapText="1"/>
    </xf>
    <xf numFmtId="0" fontId="9" fillId="4" borderId="16" applyAlignment="1" pivotButton="0" quotePrefix="0" xfId="0">
      <alignment horizontal="center" vertical="center"/>
    </xf>
    <xf numFmtId="4" fontId="0" fillId="0" borderId="16" applyAlignment="1" pivotButton="0" quotePrefix="0" xfId="0">
      <alignment horizontal="general" vertical="bottom"/>
    </xf>
    <xf numFmtId="0" fontId="9" fillId="4" borderId="16" applyAlignment="1" pivotButton="0" quotePrefix="0" xfId="0">
      <alignment horizontal="general" vertical="top" wrapText="1"/>
    </xf>
    <xf numFmtId="0" fontId="0" fillId="4" borderId="0" applyAlignment="1" pivotButton="0" quotePrefix="0" xfId="0">
      <alignment horizontal="general" vertical="top" wrapText="1"/>
    </xf>
    <xf numFmtId="0" fontId="0" fillId="4" borderId="0" applyAlignment="1" pivotButton="0" quotePrefix="0" xfId="0">
      <alignment horizontal="general" vertical="bottom"/>
    </xf>
    <xf numFmtId="0" fontId="7" fillId="5" borderId="16" applyAlignment="1" pivotButton="0" quotePrefix="0" xfId="0">
      <alignment horizontal="right" vertical="center"/>
    </xf>
    <xf numFmtId="0" fontId="0" fillId="0" borderId="17" applyAlignment="1" pivotButton="0" quotePrefix="0" xfId="0">
      <alignment horizontal="general" vertical="bottom"/>
    </xf>
    <xf numFmtId="0" fontId="0" fillId="0" borderId="18" applyAlignment="1" pivotButton="0" quotePrefix="0" xfId="0">
      <alignment horizontal="general" vertical="bottom"/>
    </xf>
    <xf numFmtId="4" fontId="7" fillId="5" borderId="16" applyAlignment="1" pivotButton="0" quotePrefix="0" xfId="0">
      <alignment horizontal="general" vertical="bottom"/>
    </xf>
    <xf numFmtId="0" fontId="8" fillId="6" borderId="16" applyAlignment="1" pivotButton="0" quotePrefix="0" xfId="0">
      <alignment horizontal="right" vertical="center"/>
    </xf>
    <xf numFmtId="4" fontId="8" fillId="6" borderId="16" applyAlignment="1" pivotButton="0" quotePrefix="0" xfId="0">
      <alignment horizontal="general" vertical="bottom"/>
    </xf>
    <xf numFmtId="0" fontId="12" fillId="0" borderId="4" applyAlignment="1" pivotButton="0" quotePrefix="0" xfId="0">
      <alignment horizontal="left" vertical="center"/>
    </xf>
    <xf numFmtId="0" fontId="0" fillId="0" borderId="7" applyAlignment="1" pivotButton="0" quotePrefix="0" xfId="0">
      <alignment horizontal="general" vertical="bottom"/>
    </xf>
    <xf numFmtId="4" fontId="12" fillId="0" borderId="4" applyAlignment="1" pivotButton="0" quotePrefix="0" xfId="0">
      <alignment horizontal="general" vertical="bottom"/>
    </xf>
    <xf numFmtId="0" fontId="13" fillId="0" borderId="4" applyAlignment="1" pivotButton="0" quotePrefix="0" xfId="0">
      <alignment horizontal="left" vertical="center"/>
    </xf>
    <xf numFmtId="4" fontId="13" fillId="0" borderId="4" applyAlignment="1" pivotButton="0" quotePrefix="0" xfId="0">
      <alignment horizontal="general" vertical="bottom"/>
    </xf>
    <xf numFmtId="0" fontId="14" fillId="0" borderId="0" applyAlignment="1" pivotButton="0" quotePrefix="0" xfId="0">
      <alignment horizontal="general" vertical="bottom"/>
    </xf>
    <xf numFmtId="0" fontId="0" fillId="0" borderId="0" applyAlignment="1" pivotButton="0" quotePrefix="0" xfId="0">
      <alignment horizontal="center" vertical="bottom"/>
    </xf>
    <xf numFmtId="0" fontId="15" fillId="0" borderId="0" applyAlignment="1" pivotButton="0" quotePrefix="0" xfId="0">
      <alignment horizontal="general" vertical="bottom"/>
    </xf>
    <xf numFmtId="0" fontId="16" fillId="0" borderId="2" applyAlignment="1" pivotButton="0" quotePrefix="0" xfId="0">
      <alignment horizontal="center" vertical="center" wrapText="1"/>
    </xf>
    <xf numFmtId="0" fontId="7" fillId="2" borderId="13" applyAlignment="1" pivotButton="0" quotePrefix="0" xfId="0">
      <alignment horizontal="center" vertical="center" wrapText="1"/>
    </xf>
    <xf numFmtId="0" fontId="17" fillId="2" borderId="19" applyAlignment="1" pivotButton="0" quotePrefix="0" xfId="0">
      <alignment horizontal="general" vertical="center" wrapText="1"/>
    </xf>
    <xf numFmtId="0" fontId="7" fillId="2" borderId="19" applyAlignment="1" pivotButton="0" quotePrefix="0" xfId="0">
      <alignment horizontal="center" vertical="center" wrapText="1"/>
    </xf>
    <xf numFmtId="0" fontId="7" fillId="2" borderId="20" applyAlignment="1" pivotButton="0" quotePrefix="0" xfId="0">
      <alignment horizontal="center" vertical="center" wrapText="1"/>
    </xf>
    <xf numFmtId="0" fontId="11" fillId="7" borderId="21" applyAlignment="1" pivotButton="0" quotePrefix="0" xfId="0">
      <alignment horizontal="general" vertical="center"/>
    </xf>
    <xf numFmtId="0" fontId="18" fillId="7" borderId="21" applyAlignment="1" pivotButton="0" quotePrefix="0" xfId="0">
      <alignment horizontal="general" vertical="center"/>
    </xf>
    <xf numFmtId="0" fontId="11" fillId="7" borderId="22" applyAlignment="1" pivotButton="0" quotePrefix="0" xfId="0">
      <alignment horizontal="center" vertical="center"/>
    </xf>
    <xf numFmtId="0" fontId="11" fillId="7" borderId="22" applyAlignment="1" pivotButton="0" quotePrefix="0" xfId="0">
      <alignment horizontal="general" vertical="center"/>
    </xf>
    <xf numFmtId="0" fontId="11" fillId="7" borderId="23" applyAlignment="1" pivotButton="0" quotePrefix="0" xfId="0">
      <alignment horizontal="general" vertical="center"/>
    </xf>
    <xf numFmtId="0" fontId="17" fillId="2" borderId="16" applyAlignment="1" pivotButton="0" quotePrefix="0" xfId="0">
      <alignment horizontal="general" vertical="top" wrapText="1"/>
    </xf>
    <xf numFmtId="0" fontId="0" fillId="2" borderId="16" applyAlignment="1" pivotButton="0" quotePrefix="0" xfId="0">
      <alignment horizontal="center" vertical="bottom"/>
    </xf>
    <xf numFmtId="0" fontId="15" fillId="0" borderId="16" applyAlignment="1" pivotButton="0" quotePrefix="0" xfId="0">
      <alignment horizontal="general" vertical="top" wrapText="1"/>
    </xf>
    <xf numFmtId="0" fontId="0" fillId="0" borderId="16" applyAlignment="1" pivotButton="0" quotePrefix="0" xfId="0">
      <alignment horizontal="general" vertical="bottom"/>
    </xf>
    <xf numFmtId="0" fontId="16" fillId="0" borderId="16" applyAlignment="1" pivotButton="0" quotePrefix="0" xfId="0">
      <alignment horizontal="general" vertical="top" wrapText="1"/>
    </xf>
    <xf numFmtId="0" fontId="0" fillId="0" borderId="16" applyAlignment="1" pivotButton="0" quotePrefix="0" xfId="0">
      <alignment horizontal="center" vertical="bottom"/>
    </xf>
    <xf numFmtId="0" fontId="19" fillId="0" borderId="0" applyAlignment="1" pivotButton="0" quotePrefix="0" xfId="0">
      <alignment horizontal="general" vertical="top" wrapText="1"/>
    </xf>
    <xf numFmtId="0" fontId="20" fillId="5" borderId="16" applyAlignment="1" pivotButton="0" quotePrefix="0" xfId="0">
      <alignment horizontal="right" vertical="center"/>
    </xf>
    <xf numFmtId="0" fontId="17" fillId="5" borderId="16" applyAlignment="1" pivotButton="0" quotePrefix="0" xfId="0">
      <alignment horizontal="right" vertical="center"/>
    </xf>
    <xf numFmtId="0" fontId="0" fillId="0" borderId="17" applyAlignment="1" pivotButton="0" quotePrefix="0" xfId="0">
      <alignment horizontal="center" vertical="bottom"/>
    </xf>
    <xf numFmtId="0" fontId="14" fillId="0" borderId="17" applyAlignment="1" pivotButton="0" quotePrefix="0" xfId="0">
      <alignment horizontal="general" vertical="bottom"/>
    </xf>
    <xf numFmtId="0" fontId="8" fillId="7" borderId="16" applyAlignment="1" pivotButton="0" quotePrefix="0" xfId="0">
      <alignment horizontal="right" vertical="center"/>
    </xf>
    <xf numFmtId="0" fontId="18" fillId="7" borderId="16" applyAlignment="1" pivotButton="0" quotePrefix="0" xfId="0">
      <alignment horizontal="right" vertical="center"/>
    </xf>
    <xf numFmtId="4" fontId="8" fillId="7" borderId="16" applyAlignment="1" pivotButton="0" quotePrefix="0" xfId="0">
      <alignment horizontal="general" vertical="bottom"/>
    </xf>
    <xf numFmtId="0" fontId="8" fillId="2" borderId="16" applyAlignment="1" pivotButton="0" quotePrefix="0" xfId="0">
      <alignment horizontal="center" vertical="center"/>
    </xf>
    <xf numFmtId="0" fontId="18" fillId="2" borderId="16" applyAlignment="1" pivotButton="0" quotePrefix="0" xfId="0">
      <alignment horizontal="center" vertical="center"/>
    </xf>
    <xf numFmtId="0" fontId="14" fillId="0" borderId="16" applyAlignment="1" pivotButton="0" quotePrefix="0" xfId="0">
      <alignment horizontal="general" vertical="bottom"/>
    </xf>
    <xf numFmtId="0" fontId="7" fillId="0" borderId="0" applyAlignment="1" pivotButton="0" quotePrefix="0" xfId="0">
      <alignment horizontal="general" vertical="top" wrapText="1"/>
    </xf>
    <xf numFmtId="0" fontId="17" fillId="0" borderId="0" applyAlignment="1" pivotButton="0" quotePrefix="0" xfId="0">
      <alignment horizontal="general" vertical="top" wrapText="1"/>
    </xf>
    <xf numFmtId="0" fontId="6" fillId="0" borderId="0" applyAlignment="1" pivotButton="0" quotePrefix="0" xfId="0">
      <alignment horizontal="general" vertical="top" wrapText="1"/>
    </xf>
    <xf numFmtId="0" fontId="16" fillId="0" borderId="0" applyAlignment="1" pivotButton="0" quotePrefix="0" xfId="0">
      <alignment horizontal="general" vertical="top" wrapText="1"/>
    </xf>
    <xf numFmtId="0" fontId="9" fillId="0" borderId="0" applyAlignment="1" pivotButton="0" quotePrefix="0" xfId="0">
      <alignment horizontal="general" vertical="bottom"/>
    </xf>
    <xf numFmtId="0" fontId="4" fillId="0" borderId="0" applyAlignment="1" pivotButton="0" quotePrefix="0" xfId="0">
      <alignment horizontal="center" vertical="center" wrapText="1"/>
    </xf>
    <xf numFmtId="0" fontId="9" fillId="0" borderId="0" applyAlignment="1" pivotButton="0" quotePrefix="0" xfId="0">
      <alignment horizontal="right"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E8E8E8"/>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BF1DE"/>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DCEEDC"/>
      <rgbColor rgb="FFFFFF99"/>
      <rgbColor rgb="FF99CCFF"/>
      <rgbColor rgb="FFFF99CC"/>
      <rgbColor rgb="FFCC99FF"/>
      <rgbColor rgb="FFF8DED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F29"/>
  <sheetViews>
    <sheetView tabSelected="1" zoomScale="150" zoomScaleNormal="150" workbookViewId="0">
      <selection activeCell="A1" sqref="A1"/>
    </sheetView>
  </sheetViews>
  <sheetFormatPr baseColWidth="8" defaultColWidth="8.6796875" defaultRowHeight="15" customHeight="0" zeroHeight="0" outlineLevelRow="0"/>
  <cols>
    <col width="5.71" customWidth="1" style="91" min="1" max="1"/>
    <col width="72.14" customWidth="1" style="91" min="2" max="2"/>
    <col width="6.43" customWidth="1" style="91" min="3" max="3"/>
    <col width="7.42" customWidth="1" style="91" min="4" max="4"/>
    <col width="12.42" customWidth="1" style="91" min="5" max="5"/>
    <col width="14.29" customWidth="1" style="91" min="6" max="6"/>
  </cols>
  <sheetData>
    <row r="1" ht="15" customHeight="1" s="92">
      <c r="A1" s="93" t="inlineStr">
        <is>
          <t>PRILOG II TD</t>
        </is>
      </c>
    </row>
    <row r="2" ht="15" customHeight="1" s="92">
      <c r="A2" s="94" t="inlineStr">
        <is>
          <t>OBRAZAC ZA CIJENU PONUDE - LOT 1 — BS SJEDNICA (BILEĆA)</t>
        </is>
      </c>
    </row>
    <row r="3" ht="30" customHeight="1" s="92">
      <c r="A3" s="181" t="inlineStr">
        <is>
          <t>INFRASTRUKTURA I INSTALACIJA OPREME ZA AUTONOMNI HIBRIDNI SISTEM NAPAJANJA
BS SJEDNICA I BS HAMZIĆI (LOT 1 i 2)</t>
        </is>
      </c>
    </row>
    <row r="4"/>
    <row r="5" ht="15" customHeight="1" s="92">
      <c r="B5" s="95" t="inlineStr">
        <is>
          <t>Naziv Ponuđača:       __________________________________</t>
        </is>
      </c>
    </row>
    <row r="6" ht="15" customHeight="1" s="92">
      <c r="B6" s="95" t="inlineStr">
        <is>
          <t>Ponuda br.:                __________________________________</t>
        </is>
      </c>
    </row>
    <row r="7"/>
    <row r="8" s="92">
      <c r="A8" s="96" t="inlineStr">
        <is>
          <t>1</t>
        </is>
      </c>
      <c r="B8" s="97" t="inlineStr">
        <is>
          <t>2</t>
        </is>
      </c>
      <c r="C8" s="98" t="inlineStr">
        <is>
          <t>3</t>
        </is>
      </c>
      <c r="D8" s="98" t="inlineStr">
        <is>
          <t>4</t>
        </is>
      </c>
      <c r="E8" s="98" t="inlineStr">
        <is>
          <t>5</t>
        </is>
      </c>
      <c r="F8" s="99" t="inlineStr">
        <is>
          <t>6</t>
        </is>
      </c>
    </row>
    <row r="9" s="92">
      <c r="A9" s="100" t="inlineStr">
        <is>
          <t>r.br.</t>
        </is>
      </c>
      <c r="B9" s="101" t="inlineStr">
        <is>
          <t>Opis stavke</t>
        </is>
      </c>
      <c r="C9" s="100" t="inlineStr">
        <is>
          <t>Jed. mjere</t>
        </is>
      </c>
      <c r="D9" s="100" t="inlineStr">
        <is>
          <t>Količina</t>
        </is>
      </c>
      <c r="E9" s="100" t="inlineStr">
        <is>
          <t>Jed. cijena u KM bez PDV-a</t>
        </is>
      </c>
      <c r="F9" s="100" t="inlineStr">
        <is>
          <t>Ukupna cijena u KM bez PDV-a  6=(4x5)</t>
        </is>
      </c>
    </row>
    <row r="10" ht="15" customHeight="1" s="92">
      <c r="A10" s="102" t="n"/>
      <c r="B10" s="103" t="inlineStr">
        <is>
          <t>LOT 1 — KONSTRUKCIJA NOSAČA ZA FOTONAPONSKE PANELE</t>
        </is>
      </c>
      <c r="C10" s="104" t="n"/>
      <c r="D10" s="104" t="n"/>
      <c r="E10" s="105" t="n"/>
      <c r="F10" s="106" t="n"/>
    </row>
    <row r="11" s="92">
      <c r="A11" s="107" t="inlineStr">
        <is>
          <t>1</t>
        </is>
      </c>
      <c r="B11" s="108" t="inlineStr">
        <is>
          <t>NOSAČI ZA FOTONAPONSKE PANELE</t>
        </is>
      </c>
      <c r="C11" s="109" t="n"/>
      <c r="D11" s="109" t="n"/>
      <c r="E11" s="109" t="n"/>
      <c r="F11" s="110" t="n"/>
    </row>
    <row r="12" s="92">
      <c r="A12" s="111" t="inlineStr">
        <is>
          <t>1.1</t>
        </is>
      </c>
      <c r="B12" s="112" t="inlineStr">
        <is>
          <t>Isporuka i montaža nosive metalne konstrukcije (ground mount support) za prihvat fotonaponskih panela, karakteristika:
 - tip: CUSTOM IZRADA (izvan kataloga zbog opterećenja vjetrom, v. niže) — 4 odvojena nosača u jednom nizu, svaki za 3 fotonaponska modula (3 reda × 1 kolona, položeno); odvojeni nosači umjesto jednog velikog polja smanjuju silu vjetra po konstrukciji (zahtjev Naručioca); geometrija margina/prepusta preuzeta iz Huawei Standard A-Shaped Support 3.0 konvencije (PVM Tabela 4-20), ali poprečna greda izrađena po mjeri za 1 kolonu položenih modula, ne za kataloških 6
 - inklinacija: fiksno 45°, orijentacija JUGOZAPAD (azimut 225°), niz paralelan sa jugozapadnom ogradom (Naručilac 11.09.2026). Nagib je zadržan zbog decembarskog prinosa — pri podnevnoj visini Sunca 23,6° na 42,94° N nagib 45° ostvaruje 93 % direktnog zračenja u odnosu na 85 % pri 35°, a decembar je mjerodavni mjesec za dimenzionisanje autonomnog sistema
 - gabariti PV polja po nosaču (3 reda × 1 modul, položeno): širina polja 2278 mm (poprečna greda 2891 mm, bočni prepust 306,5 mm), dužina polja po nagibu 3442 mm (3 × 1134 mm + 2 × 20 mm), horizontalna projekcija 2434 mm pri nagibu 45°; donja ivica panela na +0,50 m, gornja ivica na +2,93 m od nivoa terena; razmak između nosača 400 mm, dužina niza 10 312 mm
 - smještaj: nosači se temelje IZVAN ograđenog platoa, jugozapadno od ograde (JZ strana), cca 0,40 m od ograde; odmak od ograde ponuđač utvrđuje pri poziciranju nosača tako da ravan panela nigdje ne dodiruje ogradu; gornja (sjeveroistočna) ivica panela je 0,83 m iznad kote ograde h=2,10 m. Ponuđač provjerava da konstrukcija u cijelosti ostaje unutar zakupljene parcele 16,00 × 9,40 m
 - MJERODAVNO OPTEREĆENJE VJETROM: qp ≥ 1,20 kN/m² (udar 3 s ≈ 45 m/s) prema ovjerenoj projektnoj dokumentaciji lokacije i BAS EN 1991-1-4 sa BiH nacionalnim aneksom, uz primjenu faktora orografije za izloženi planinski vrh na 1076 m n.v. Koeficijent sile cf ≥ 1,5 pri 45° prema EN 1991-1-4 §7.3, osim ako se proračunom dokaže drugačije. Površina izloženosti vjetru 7,84 m² po nosaču (2278 × 3442 mm). Projektne sile po nosaču (GSN, γQ=1,5 / γG,fav=0,9): podizanje ≥13,3 kN, horizontalna sila ≥10,0 kN, moment prevrtanja ≥25,7 kNm. Mjerodavni su podizanje (uplift) i prevrtanje, a ne nosivost tla. NAPOMENA: kataloški nosač tipa A ima deklarisanu otpornost 31 m/s (0,52 kN/m²) pri 45° i 40 m/s (0,87 kN/m²) pri 15°/25°, što je ISPOD opterećenja ovog lokaliteta čak i za manje polje; Ponuđač je stoga dužan ponuditi konstrukciju dimenzionisanu i dokazanu za stvarno opterećenje lokaliteta, uz pisanu potvrdu proizvođača za konkretnu lokaciju (planinski vrh) ako se ipak nudi kataloški proizvod
 - materijal i izrada: konstrukcijski čelik S275JR (S355JR za stubove) prema EN 10025-2, šuplji profili prema EN 10219 — stubovi min. RHS 80×80×4, rigle min. RHS 60×40×3, ili bilo koji presjek za koji se proračunom dokaže najmanje jednak otporni moment; antikorozivna zaštita vrućim cinčanjem prema EN ISO 1461 min. 70 µm lokalno / 85 µm srednje (klasa korozivnosti C4); zavarivanje prema EN 1090-2 klasa izvedbe EXC2; CE označavanje i izjava o svojstvima prema EN 1090-1; konstrukcijski vijci M16 klase 8.8 prema EN 15048, pričvrsni pribor modula A2/A4 nehrđajući
 - spojni pribor: nehrđajući čelik A2/A4
 - uključeno ožičenje i povezivanje panela do PVDB distribucije preko po-string DC odvodnika prenapona (v. crtež E-01): 12 modula se povezuje u DVA STRINGA po 6 modula (string 1 — nosači PV-1 i PV-2; string 2 — nosači PV-3 i PV-4), po jedan string na svaku od dvije rute PVDB ormara</t>
        </is>
      </c>
      <c r="C12" s="113" t="inlineStr">
        <is>
          <t>kpl</t>
        </is>
      </c>
      <c r="D12" s="113" t="n">
        <v>4</v>
      </c>
      <c r="E12" s="114" t="n"/>
      <c r="F12" s="114">
        <f>IF(AND(D12&lt;&gt;"",E12&lt;&gt;""),D12*E12,"")</f>
        <v/>
      </c>
    </row>
    <row r="13" s="92">
      <c r="A13" s="111" t="inlineStr">
        <is>
          <t>1.2</t>
        </is>
      </c>
      <c r="B13" s="112" t="inlineStr">
        <is>
          <t>Isporuka i ugradnja sistema sidrenja nosive konstrukcije iz Tačke 1.1 u stijenu/beton, hemijskim (epoksidnim) ankerima.
 - tip: hemijski (epoksidni/vinilesterski) anker M16 ili M20 sa ETA odobrenjem za ugradnju u beton i/ili stijenu, vruće cinčan ili nehrđajući A4
 - broj: najmanje 2 ankera po temeljnoj traci, odnosno 4 ankera po nosaču (minimum 2 po traci zbog redundanse)
 - nosivost: karakteristična sila čupanja ≥30 kN po ankeru; dubina ugradnje prema ETA za konkretnu podlogu. Ukupna projektna sila podizanja po nosaču ≥13,3 kN (GSN); sila po traci od momenta prevrtanja ≥16,1 kN pri razmaku traka 1600 mm
 - dokazivanje: ispitivanje čupanjem (pull-out test) na najmanje 10 % ugrađenih ankera, minimalno 2 po nosaču, do 1,5 × projektne sile, uz zapisnik ovjeren od nadzornog organa
 - alternativa: livena U-anker sidra M16, dužine 320 mm, razmaka krakova 180 mm, sa pločama 50×50 mm i dvostrukim maticama, dozvoljena su SAMO uz gravitacioni temelj iz Tačke 2.3 (dvije trake po nosaču, najmanje 0,74 m³ po traci; tendovano 1,053 m³ po traci) — momenat prevrtanja i dalje zahtijeva provjeru lokalnog istezanja trake, ne samo ukupne mase</t>
        </is>
      </c>
      <c r="C13" s="113" t="inlineStr">
        <is>
          <t>kpl</t>
        </is>
      </c>
      <c r="D13" s="113" t="n">
        <v>4</v>
      </c>
      <c r="E13" s="114" t="n"/>
      <c r="F13" s="114">
        <f>IF(AND(D13&lt;&gt;"",E13&lt;&gt;""),D13*E13,"")</f>
        <v/>
      </c>
    </row>
    <row r="14" s="92">
      <c r="A14" s="115" t="inlineStr">
        <is>
          <t>1.3</t>
        </is>
      </c>
      <c r="B14" s="116" t="inlineStr">
        <is>
          <t>Statički proračun nosive konstrukcije i temelja, ovjeren i potpisan od strane ovlaštenog inženjera.
 - dokaz otpornosti na pritisak vjetra qp ≥ 1,20 kN/m² pri nagibu 45°, prema BAS EN 1991-1-4 sa BiH nacionalnim aneksom, uključujući orografiju
 - dokaz na opterećenje snijegom prema BAS EN 1991-1-3 i na radijalni led 20 mm gustine 300 kg/m³
 - dokaz sigurnosti na podizanje (uplift) i prevrtanje prema EN 1990 (γQ,dst = 1,5; γG,stb = 0,9)
 - dimenzionisanje temelja i sidrenja prema stvarnim geotehničkim uslovima (kamenito tlo), uz navođenje dubine smrzavanja za lokalitet
NAPOMENA: proračun se dostavlja tokom realizacije kao uslov za primopredaju.</t>
        </is>
      </c>
      <c r="C14" s="117" t="inlineStr">
        <is>
          <t>kpl</t>
        </is>
      </c>
      <c r="D14" s="117" t="n">
        <v>1</v>
      </c>
      <c r="E14" s="118" t="n"/>
      <c r="F14" s="118">
        <f>IF(AND(D14&lt;&gt;"",E14&lt;&gt;""),D14*E14,"")</f>
        <v/>
      </c>
    </row>
    <row r="15" s="92">
      <c r="A15" s="115" t="inlineStr">
        <is>
          <t>1.4</t>
        </is>
      </c>
      <c r="B15" s="116" t="inlineStr">
        <is>
          <t>Uzemljenje nosivih konstrukcija: povezivanje sva četiri nosača na postojeći prstenasti uzemljivač lokacije bakarnim užetom presjeka 50 mm² sa izolacijom otpornom na UV zračenje i ukopavanje, preko priključnih stezaljki na konstrukciji i bimetalnih (Cu/Fe-Zn) ukrsnih komada radi sprječavanja galvanske korozije. Presjek prema EN 62305-3, Tabela 7, za odvođenje atmosferskog pražnjenja. Kontinuitet svih spojeva ≤0,1 Ω, ukupni otpor uzemljenja ≤10 Ω. DC kablovi se polažu na razmaku ≥0,5 m od odvoda gromobranske instalacije (Huawei §4.1.3).</t>
        </is>
      </c>
      <c r="C15" s="117" t="inlineStr">
        <is>
          <t>kpl</t>
        </is>
      </c>
      <c r="D15" s="117" t="n">
        <v>4</v>
      </c>
      <c r="E15" s="118" t="n"/>
      <c r="F15" s="118">
        <f>IF(AND(D15&lt;&gt;"",E15&lt;&gt;""),D15*E15,"")</f>
        <v/>
      </c>
    </row>
    <row r="16" s="92">
      <c r="A16" s="115" t="inlineStr">
        <is>
          <t>1.5</t>
        </is>
      </c>
      <c r="B16" s="119" t="inlineStr">
        <is>
          <t>Dokumentacija izvedenog stanja za LOT 1: kataloška dokumentacija nosača sa tehničkim crtežima, statički proračun, atesti materijala i vrućeg cinčanja, garantni list.</t>
        </is>
      </c>
      <c r="C16" s="117" t="inlineStr">
        <is>
          <t>kpl</t>
        </is>
      </c>
      <c r="D16" s="117" t="n">
        <v>1</v>
      </c>
      <c r="E16" s="118" t="n"/>
      <c r="F16" s="118">
        <f>IF(AND(D16&lt;&gt;"",E16&lt;&gt;""),D16*E16,"")</f>
        <v/>
      </c>
    </row>
    <row r="17" ht="24" customHeight="1" s="92">
      <c r="A17" s="115" t="n"/>
      <c r="B17" s="120" t="n"/>
      <c r="F17" s="118" t="n"/>
    </row>
    <row r="18" ht="24" customHeight="1" s="92">
      <c r="A18" s="121" t="n"/>
      <c r="B18" s="121" t="inlineStr">
        <is>
          <t>UKUPNO 1 — NOSAČI ZA FOTONAPONSKE PANELE:</t>
        </is>
      </c>
      <c r="C18" s="122" t="n"/>
      <c r="D18" s="122" t="n"/>
      <c r="E18" s="123" t="n"/>
      <c r="F18" s="124">
        <f>SUM(F12:F17)</f>
        <v/>
      </c>
    </row>
    <row r="19" s="92">
      <c r="A19" s="125" t="inlineStr">
        <is>
          <t>2</t>
        </is>
      </c>
      <c r="B19" s="126" t="inlineStr">
        <is>
          <t>GRAĐEVINSKI RADOVI</t>
        </is>
      </c>
      <c r="C19" s="127" t="n"/>
      <c r="D19" s="127" t="n"/>
      <c r="E19" s="127" t="n"/>
      <c r="F19" s="127" t="n"/>
    </row>
    <row r="20" s="92">
      <c r="A20" s="128" t="inlineStr">
        <is>
          <t>2.1</t>
        </is>
      </c>
      <c r="B20" s="129" t="inlineStr">
        <is>
          <t>Iskop zemlje/stijene IV-V kategorije za temeljne trake nosača, do donje ivice podložnog betona. Rov širine 500 mm, dubine 950 mm, dužine 2600 mm. 4 nosača × 2 trake × 1,235 m3</t>
        </is>
      </c>
      <c r="C20" s="130" t="inlineStr">
        <is>
          <t>m3</t>
        </is>
      </c>
      <c r="D20" s="130" t="n">
        <v>9.880000000000001</v>
      </c>
      <c r="E20" s="131" t="n"/>
      <c r="F20" s="131">
        <f>IF(AND(D20&lt;&gt;"",E20&lt;&gt;""),D20*E20,"")</f>
        <v/>
      </c>
    </row>
    <row r="21" s="92">
      <c r="A21" s="128" t="inlineStr">
        <is>
          <t>2.2</t>
        </is>
      </c>
      <c r="B21" s="132" t="inlineStr">
        <is>
          <t>Zatrpavanje preostalog dijela rova zemljom od iskopa uz nabijanje u slojevima. Traka je pune dubine, pa se zatrpava samo klin uz kosinu rova. 4 nosača × 2 trake × 0,117 m3</t>
        </is>
      </c>
      <c r="C21" s="130" t="inlineStr">
        <is>
          <t>m3</t>
        </is>
      </c>
      <c r="D21" s="130" t="n">
        <v>0.9399999999999999</v>
      </c>
      <c r="E21" s="131" t="n"/>
      <c r="F21" s="131">
        <f>IF(AND(D21&lt;&gt;"",E21&lt;&gt;""),D21*E21,"")</f>
        <v/>
      </c>
    </row>
    <row r="22" s="92">
      <c r="A22" s="128" t="inlineStr">
        <is>
          <t>2.2a</t>
        </is>
      </c>
      <c r="B22" s="129" t="inlineStr">
        <is>
          <t>Odvoz i zbrinjavanje viška materijala od iskopa do deponije udaljene do 20 km.</t>
        </is>
      </c>
      <c r="C22" s="130" t="inlineStr">
        <is>
          <t>m3</t>
        </is>
      </c>
      <c r="D22" s="130" t="n">
        <v>8.94</v>
      </c>
      <c r="E22" s="131" t="n"/>
      <c r="F22" s="131">
        <f>IF(AND(D22&lt;&gt;"",E22&lt;&gt;""),D22*E22,"")</f>
        <v/>
      </c>
    </row>
    <row r="23" s="92">
      <c r="A23" s="128" t="inlineStr">
        <is>
          <t>2.2b</t>
        </is>
      </c>
      <c r="B23" s="129" t="inlineStr">
        <is>
          <t>Nabavka materijala, transport i ugradnja podložnog betona C12/15 ispod temeljnih traka, prema zahtjevima proizvođača. 4 nosača × 2 trake × 0,065 m3</t>
        </is>
      </c>
      <c r="C23" s="130" t="inlineStr">
        <is>
          <t>m3</t>
        </is>
      </c>
      <c r="D23" s="130" t="n">
        <v>0.52</v>
      </c>
      <c r="E23" s="131" t="n"/>
      <c r="F23" s="131">
        <f>IF(AND(D23&lt;&gt;"",E23&lt;&gt;""),D23*E23,"")</f>
        <v/>
      </c>
    </row>
    <row r="24" s="92">
      <c r="A24" s="128" t="inlineStr">
        <is>
          <t>2.3</t>
        </is>
      </c>
      <c r="B24" s="129" t="inlineStr">
        <is>
          <t>Nabavka materijala, transport i betoniranje DVIJE temeljne trake po nosaču, betonom C30/37 klase izloženosti XC4 + XF3 prema BAS EN 206 (aerant 4–6 %, Dmax 16, konzistencija S3), uz upotrebu oplate i njegovanje betona. Armatura B500B, zaštitni sloj ≥50 mm, prema ovjerenom statičkom proračunu iz Tačke 1.3. Obračun po m³ ugrađenog betona. Traka 400 mm (gore) / 500 mm (dolje) × 2600 mm, PUNE dubine 900 mm = 1,053 m³ po traci. 4 nosača × 2 trake × 1,053 m³
BETON I ARMATURA: beton klase C30/37, klase izloženosti XC4 + XF3 prema BAS EN 206, sa aerantom 4–6 %, Dmax 16, konzistencija S3; podložni beton C12/15 d=50 mm; armatura B500B, zaštitni sloj ≥50 mm. Klasa XF3 je mjerodavna zbog cikličnog smrzavanja i odmrzavanja u vlažnom stanju na 1076 m n.v. Temeljna spojnica mora biti ispod dubine smrzavanja za lokalitet, koju Ponuđač navodi u ponudi. Dubina 900 mm je tenderska osnova i mjerodavna je za ponudu; konačnu dubinu i armaturu potvrđuje ovjereni statički proračun iz Tačke 1.3. Traka se betonira punom dubinom rova — vlastita težina trake je dio dokaza sigurnosti na podizanje i prevrtanje.</t>
        </is>
      </c>
      <c r="C24" s="130" t="inlineStr">
        <is>
          <t>m3</t>
        </is>
      </c>
      <c r="D24" s="130" t="n">
        <v>8.42</v>
      </c>
      <c r="E24" s="131" t="n"/>
      <c r="F24" s="131">
        <f>IF(AND(D24&lt;&gt;"",E24&lt;&gt;""),D24*E24,"")</f>
        <v/>
      </c>
    </row>
    <row r="25" s="92">
      <c r="A25" s="128" t="inlineStr">
        <is>
          <t>2.4</t>
        </is>
      </c>
      <c r="B25" s="129" t="inlineStr">
        <is>
          <t>Obrada vidljivih strana i gornje površine temeljnih traka cementnim malterom u nagibu 1,0 %, zaglađeno do crnog sjaja.</t>
        </is>
      </c>
      <c r="C25" s="130" t="inlineStr">
        <is>
          <t>m2</t>
        </is>
      </c>
      <c r="D25" s="130" t="n">
        <v>12</v>
      </c>
      <c r="E25" s="131" t="n"/>
      <c r="F25" s="131">
        <f>IF(AND(D25&lt;&gt;"",E25&lt;&gt;""),D25*E25,"")</f>
        <v/>
      </c>
    </row>
    <row r="26" s="92">
      <c r="A26" s="128" t="inlineStr">
        <is>
          <t>2.5</t>
        </is>
      </c>
      <c r="B26" s="132" t="inlineStr">
        <is>
          <t>Ostali sitni građevinski i potrošni materijal.</t>
        </is>
      </c>
      <c r="C26" s="130" t="inlineStr">
        <is>
          <t>paušal</t>
        </is>
      </c>
      <c r="D26" s="130" t="n">
        <v>1</v>
      </c>
      <c r="E26" s="131" t="n"/>
      <c r="F26" s="131">
        <f>IF(AND(D26&lt;&gt;"",E26&lt;&gt;""),D26*E26,"")</f>
        <v/>
      </c>
    </row>
    <row r="27" ht="15" customHeight="1" s="92">
      <c r="A27" s="135" t="n"/>
      <c r="B27" s="135" t="inlineStr">
        <is>
          <t>UKUPNO 2 — GRAĐEVINSKI RADOVI ZA NOSAČE FN PANELA:</t>
        </is>
      </c>
      <c r="C27" s="136" t="n"/>
      <c r="D27" s="136" t="n"/>
      <c r="E27" s="137" t="n"/>
      <c r="F27" s="138">
        <f>SUM(F20:F26)</f>
        <v/>
      </c>
    </row>
    <row r="28" ht="24" customHeight="1" s="92"/>
    <row r="29" ht="15" customHeight="1" s="92">
      <c r="A29" s="139" t="n"/>
      <c r="B29" s="139" t="inlineStr">
        <is>
          <t>UKUPNO LOT 1 — BS SJEDNICA (bez PDV-a):</t>
        </is>
      </c>
      <c r="C29" s="136" t="n"/>
      <c r="D29" s="137" t="n"/>
      <c r="E29" s="137" t="n"/>
      <c r="F29" s="140">
        <f>F18+F27</f>
        <v/>
      </c>
    </row>
  </sheetData>
  <mergeCells count="2">
    <mergeCell ref="A2:F2"/>
    <mergeCell ref="A3:F3"/>
  </mergeCells>
  <printOptions horizontalCentered="1" verticalCentered="0" headings="0" gridLines="0" gridLinesSet="1"/>
  <pageMargins left="0.75" right="0.75" top="1" bottom="1" header="0.5" footer="0.511811023622047"/>
  <pageSetup orientation="landscape" paperSize="1" scale="100" fitToHeight="0" fitToWidth="1" pageOrder="downThenOver" blackAndWhite="0" draft="0" horizontalDpi="300" verticalDpi="300" copies="1"/>
  <headerFooter differentOddEven="0" differentFirst="0">
    <oddHeader>&amp;R&amp;"Times New Roman,Regular"&amp;12 &amp;"Arial,Regular"&amp;10 [BH Telecom | &amp;"Arial,Bold"Interno&amp;"Arial,Regular"]</oddHeader>
    <oddFooter/>
    <evenHeader/>
    <evenFooter/>
    <firstHeader/>
    <firstFooter/>
  </headerFooter>
</worksheet>
</file>

<file path=xl/worksheets/sheet2.xml><?xml version="1.0" encoding="utf-8"?>
<worksheet xmlns="http://schemas.openxmlformats.org/spreadsheetml/2006/main">
  <sheetPr filterMode="0">
    <outlinePr summaryBelow="1" summaryRight="1"/>
    <pageSetUpPr fitToPage="1"/>
  </sheetPr>
  <dimension ref="A1:F30"/>
  <sheetViews>
    <sheetView tabSelected="0" zoomScale="150" zoomScaleNormal="150" workbookViewId="0">
      <selection activeCell="A1" sqref="A1"/>
    </sheetView>
  </sheetViews>
  <sheetFormatPr baseColWidth="8" defaultColWidth="8.6796875" defaultRowHeight="15" customHeight="0" zeroHeight="0" outlineLevelRow="0"/>
  <cols>
    <col width="5.71" customWidth="1" style="91" min="1" max="1"/>
    <col width="72.14" customWidth="1" style="91" min="2" max="2"/>
    <col width="6.43" customWidth="1" style="91" min="3" max="3"/>
    <col width="7.42" customWidth="1" style="91" min="4" max="4"/>
    <col width="12.42" customWidth="1" style="91" min="5" max="5"/>
    <col width="14.29" customWidth="1" style="91" min="6" max="6"/>
  </cols>
  <sheetData>
    <row r="1" ht="15" customHeight="1" s="92">
      <c r="A1" s="93" t="inlineStr">
        <is>
          <t>PRILOG II TD</t>
        </is>
      </c>
    </row>
    <row r="2" ht="15" customHeight="1" s="92">
      <c r="A2" s="94" t="inlineStr">
        <is>
          <t>OBRAZAC ZA CIJENU PONUDE - LOT 1 — BS HAMZIĆI (ČITLUK)</t>
        </is>
      </c>
    </row>
    <row r="3" ht="30" customHeight="1" s="92">
      <c r="A3" s="181" t="inlineStr">
        <is>
          <t>INFRASTRUKTURA I INSTALACIJA OPREME ZA AUTONOMNI HIBRIDNI SISTEM NAPAJANJA
BS SJEDNICA I BS HAMZIĆI (LOT 1 i 2)</t>
        </is>
      </c>
    </row>
    <row r="4"/>
    <row r="5" ht="15" customHeight="1" s="92">
      <c r="B5" s="95" t="inlineStr">
        <is>
          <t>Naziv Ponuđača:       __________________________________</t>
        </is>
      </c>
    </row>
    <row r="6" ht="15" customHeight="1" s="92">
      <c r="B6" s="95" t="inlineStr">
        <is>
          <t>Ponuda br.:                __________________________________</t>
        </is>
      </c>
    </row>
    <row r="7"/>
    <row r="8" s="92">
      <c r="A8" s="96" t="inlineStr">
        <is>
          <t>1</t>
        </is>
      </c>
      <c r="B8" s="97" t="inlineStr">
        <is>
          <t>2</t>
        </is>
      </c>
      <c r="C8" s="98" t="inlineStr">
        <is>
          <t>3</t>
        </is>
      </c>
      <c r="D8" s="98" t="inlineStr">
        <is>
          <t>4</t>
        </is>
      </c>
      <c r="E8" s="98" t="inlineStr">
        <is>
          <t>5</t>
        </is>
      </c>
      <c r="F8" s="99" t="inlineStr">
        <is>
          <t>6</t>
        </is>
      </c>
    </row>
    <row r="9" s="92">
      <c r="A9" s="100" t="inlineStr">
        <is>
          <t>r.br.</t>
        </is>
      </c>
      <c r="B9" s="101" t="inlineStr">
        <is>
          <t>Opis stavke</t>
        </is>
      </c>
      <c r="C9" s="100" t="inlineStr">
        <is>
          <t>Jed. mjere</t>
        </is>
      </c>
      <c r="D9" s="100" t="inlineStr">
        <is>
          <t>Količina</t>
        </is>
      </c>
      <c r="E9" s="100" t="inlineStr">
        <is>
          <t>Jed. cijena u KM bez PDV-a</t>
        </is>
      </c>
      <c r="F9" s="100" t="inlineStr">
        <is>
          <t>Ukupna cijena u KM bez PDV-a  6=(4x5)</t>
        </is>
      </c>
    </row>
    <row r="10" ht="15" customHeight="1" s="92">
      <c r="A10" s="102" t="n"/>
      <c r="B10" s="103" t="inlineStr">
        <is>
          <t>LOT 1 — KONSTRUKCIJA NOSAČA ZA FOTONAPONSKE PANELE</t>
        </is>
      </c>
      <c r="C10" s="104" t="n"/>
      <c r="D10" s="104" t="n"/>
      <c r="E10" s="105" t="n"/>
      <c r="F10" s="106" t="n"/>
    </row>
    <row r="11" s="92">
      <c r="A11" s="107" t="inlineStr">
        <is>
          <t>1</t>
        </is>
      </c>
      <c r="B11" s="108" t="inlineStr">
        <is>
          <t>NOSAČI ZA FOTONAPONSKE PANELE</t>
        </is>
      </c>
      <c r="C11" s="109" t="n"/>
      <c r="D11" s="109" t="n"/>
      <c r="E11" s="109" t="n"/>
      <c r="F11" s="110" t="n"/>
    </row>
    <row r="12" s="92">
      <c r="A12" s="111" t="inlineStr">
        <is>
          <t>1.1</t>
        </is>
      </c>
      <c r="B12" s="112" t="inlineStr">
        <is>
          <t>Isporuka i montaža nosive metalne konstrukcije (ground mount support) za prihvat fotonaponskih panela, karakteristika:
 - tip: CUSTOM IZRADA (izvan kataloga zbog opterećenja vjetrom, v. niže) — 4 odvojena nosača u jednom nizu, svaki za 3 fotonaponska modula (3 reda × 1 kolona, položeno); odvojeni nosači umjesto jednog velikog polja smanjuju silu vjetra po konstrukciji (zahtjev Naručioca); geometrija margina/prepusta preuzeta iz Huawei Standard A-Shaped Support 3.0 konvencije (PVM Tabela 4-20), ali poprečna greda izrađena po mjeri za 1 kolonu položenih modula, ne za kataloških 6
 - inklinacija: fiksno 45°, orijentacija JUGOZAPAD (azimut 225°), niz paralelan sa jugozapadnom ogradom (Naručilac 11.09.2026). Listopadno stablo JJI–JI od stuba (≈7–9 m, 15–20 m, izvan zakupa) ostaje; pri polju okrenutom prema jugozapadu njegov uticaj je mali (Prilog I, Tačka 3.7)
 - gabariti PV polja po nosaču (3 reda × 1 modul, položeno): širina polja 2278 mm (poprečna greda 2891 mm, bočni prepust 306,5 mm), dužina polja po nagibu 3442 mm (3 × 1134 mm + 2 × 20 mm), horizontalna projekcija 2434 mm pri nagibu 45°; donja ivica panela na +0,50 m, gornja ivica na +2,93 m od nivoa terena; razmak između nosača 400 mm, dužina niza 10 312 mm
 - smještaj (43,288012° N, 17,624794° E, 493 m n.v.): nosači se temelje IZVAN ograđenog platoa, jugozapadno od ploče i ograde, u pojasu dubine 3300 mm i dužine 12,50 m (JZ strana), unutar zakupa k.č. 109/1 K.O. Hamzići (12,00 × 12,50 m); trake 350 mm od granice zakupa i od ploče; odmak od ograde ponuđač utvrđuje pri poziciranju nosača tako da ravan panela nigdje ne dodiruje ogradu; gornja (sjeveroistočna) ivica panela je 0,93 m iznad vrha ograde — ograda je h=1,80 m iznad ploče, odnosno 2,00 m iznad vanjskog terena, koji je uz ploču na −0,20 m (ovjereni 04_Ograda). Ponuđač provjerava da konstrukcija u cijelosti ostaje unutar zakupa 12,00 × 12,50 m
 - MJERODAVNO OPTEREĆENJE VJETROM: qp ≥ 1,20 kN/m² (udar 3 s ≈ 45 m/s) prema BAS EN 1991-1-4 sa BiH nacionalnim aneksom — ista vrijednost kao na lokaciji Sjednica, radi jedne konstrukcije za obje lokacije (iz ovjerenog projekta lokacije, 493 m n.v., izvodi se 0,69–0,96 kN/m²). Koeficijent sile cf ≥ 1,5 pri 45° prema EN 1991-1-4 §7.3, osim ako se proračunom dokaže drugačije. Površina izloženosti vjetru 7,84 m² po nosaču (2278 × 3442 mm). Projektne sile po nosaču (GSN, γQ=1,5 / γG,fav=0,9): podizanje ≥13,3 kN, horizontalna sila ≥10,0 kN, moment prevrtanja ≥25,7 kNm. Mjerodavni su podizanje (uplift) i prevrtanje, a ne nosivost tla. NAPOMENA: kataloški nosač tipa A ima deklarisanu otpornost 31 m/s (0,52 kN/m²) pri 45° i 40 m/s (0,87 kN/m²) pri 15°/25°, što je ISPOD opterećenja ovog lokaliteta čak i za manje polje; Ponuđač je stoga dužan ponuditi konstrukciju dimenzionisanu i dokazanu za stvarno opterećenje lokaliteta, uz pisanu potvrdu proizvođača za konkretnu lokaciju ako se ipak nudi kataloški proizvod
 - materijal i izrada: konstrukcijski čelik S275JR (S355JR za stubove) prema EN 10025-2, šuplji profili prema EN 10219 — stubovi min. RHS 80×80×4, rigle min. RHS 60×40×3, ili bilo koji presjek za koji se proračunom dokaže najmanje jednak otporni moment; antikorozivna zaštita vrućim cinčanjem prema EN ISO 1461 min. 70 µm lokalno / 85 µm srednje (klasa korozivnosti C4); zavarivanje prema EN 1090-2 klasa izvedbe EXC2; CE označavanje i izjava o svojstvima prema EN 1090-1; konstrukcijski vijci M16 klase 8.8 prema EN 15048, pričvrsni pribor modula A2/A4 nehrđajući
 - spojni pribor: nehrđajući čelik A2/A4
 - uključeno ožičenje i povezivanje panela do PVDB distribucije preko po-string DC odvodnika prenapona (v. crtež H-05): 12 modula se povezuje u DVA STRINGA po 6 modula (string 1 — nosači PV-1 i PV-2; string 2 — nosači PV-3 i PV-4), po jedan string na svaku od dvije rute PVDB ormara</t>
        </is>
      </c>
      <c r="C12" s="113" t="inlineStr">
        <is>
          <t>kpl</t>
        </is>
      </c>
      <c r="D12" s="113" t="n">
        <v>4</v>
      </c>
      <c r="E12" s="114" t="n"/>
      <c r="F12" s="114">
        <f>IF(AND(D12&lt;&gt;"",E12&lt;&gt;""),D12*E12,"")</f>
        <v/>
      </c>
    </row>
    <row r="13" s="92">
      <c r="A13" s="111" t="inlineStr">
        <is>
          <t>1.2</t>
        </is>
      </c>
      <c r="B13" s="112" t="inlineStr">
        <is>
          <t>Isporuka i ugradnja sistema sidrenja nosive konstrukcije iz Tačke 1.1 u stijenu/beton, hemijskim (epoksidnim) ankerima.
 - tip: hemijski (epoksidni/vinilesterski) anker M16 ili M20 sa ETA odobrenjem za ugradnju u beton i/ili stijenu, vruće cinčan ili nehrđajući A4
 - broj: najmanje 2 ankera po temeljnoj traci, odnosno 4 ankera po nosaču (minimum 2 po traci zbog redundanse)
 - nosivost: karakteristična sila čupanja ≥30 kN po ankeru; dubina ugradnje prema ETA za konkretnu podlogu. Ukupna projektna sila podizanja po nosaču ≥13,3 kN (GSN); sila po traci od momenta prevrtanja ≥16,1 kN pri razmaku traka 1600 mm
 - dokazivanje: ispitivanje čupanjem (pull-out test) na najmanje 10 % ugrađenih ankera, minimalno 2 po nosaču, do 1,5 × projektne sile, uz zapisnik ovjeren od nadzornog organa
 - alternativa: livena U-anker sidra M16, dužine 320 mm, razmaka krakova 180 mm, sa pločama 50×50 mm i dvostrukim maticama, dozvoljena su SAMO uz gravitacioni temelj iz Tačke 2.3 (dvije trake po nosaču, najmanje 0,74 m³ po traci; tendovano 1,053 m³ po traci) — momenat prevrtanja i dalje zahtijeva provjeru lokalnog istezanja trake, ne samo ukupne mase</t>
        </is>
      </c>
      <c r="C13" s="113" t="inlineStr">
        <is>
          <t>kpl</t>
        </is>
      </c>
      <c r="D13" s="113" t="n">
        <v>4</v>
      </c>
      <c r="E13" s="114" t="n"/>
      <c r="F13" s="114">
        <f>IF(AND(D13&lt;&gt;"",E13&lt;&gt;""),D13*E13,"")</f>
        <v/>
      </c>
    </row>
    <row r="14" s="92">
      <c r="A14" s="115" t="inlineStr">
        <is>
          <t>1.3</t>
        </is>
      </c>
      <c r="B14" s="116" t="inlineStr">
        <is>
          <t>Statički proračun nosive konstrukcije i temelja, ovjeren i potpisan od strane ovlaštenog inženjera.
 - dokaz otpornosti na pritisak vjetra qp ≥ 1,20 kN/m² pri nagibu 45°, prema BAS EN 1991-1-4 sa BiH nacionalnim aneksom, uključujući orografiju
 - dokaz na opterećenje snijegom prema BAS EN 1991-1-3 i na radijalni led 20 mm gustine 300 kg/m³
 - dokaz sigurnosti na podizanje (uplift) i prevrtanje prema EN 1990 (γQ,dst = 1,5; γG,stb = 0,9)
 - dimenzionisanje temelja i sidrenja prema stvarnim geotehničkim uslovima (kamenito tlo), uz navođenje dubine smrzavanja za lokalitet
NAPOMENA: proračun se dostavlja tokom realizacije kao uslov za primopredaju.</t>
        </is>
      </c>
      <c r="C14" s="117" t="inlineStr">
        <is>
          <t>kpl</t>
        </is>
      </c>
      <c r="D14" s="117" t="n">
        <v>1</v>
      </c>
      <c r="E14" s="118" t="n"/>
      <c r="F14" s="118">
        <f>IF(AND(D14&lt;&gt;"",E14&lt;&gt;""),D14*E14,"")</f>
        <v/>
      </c>
    </row>
    <row r="15" s="92">
      <c r="A15" s="115" t="inlineStr">
        <is>
          <t>1.4</t>
        </is>
      </c>
      <c r="B15" s="116" t="inlineStr">
        <is>
          <t>Uzemljenje nosivih konstrukcija: povezivanje sva četiri nosača na postojeći prstenasti uzemljivač lokacije bakarnim užetom presjeka 50 mm² sa izolacijom otpornom na UV zračenje i ukopavanje, preko priključnih stezaljki na konstrukciji i bimetalnih (Cu/Fe-Zn) ukrsnih komada radi sprječavanja galvanske korozije. Presjek prema EN 62305-3, Tabela 7, za odvođenje atmosferskog pražnjenja. Kontinuitet svih spojeva ≤0,1 Ω, ukupni otpor uzemljenja ≤10 Ω. DC kablovi se polažu na razmaku ≥0,5 m od odvoda gromobranske instalacije (Huawei §4.1.3).</t>
        </is>
      </c>
      <c r="C15" s="117" t="inlineStr">
        <is>
          <t>kpl</t>
        </is>
      </c>
      <c r="D15" s="117" t="n">
        <v>4</v>
      </c>
      <c r="E15" s="118" t="n"/>
      <c r="F15" s="118">
        <f>IF(AND(D15&lt;&gt;"",E15&lt;&gt;""),D15*E15,"")</f>
        <v/>
      </c>
    </row>
    <row r="16" s="92">
      <c r="A16" s="115" t="inlineStr">
        <is>
          <t>1.5</t>
        </is>
      </c>
      <c r="B16" s="119" t="inlineStr">
        <is>
          <t>Dokumentacija izvedenog stanja za LOT 1: kataloška dokumentacija nosača sa tehničkim crtežima, statički proračun, atesti materijala i vrućeg cinčanja, garantni list.</t>
        </is>
      </c>
      <c r="C16" s="117" t="inlineStr">
        <is>
          <t>kpl</t>
        </is>
      </c>
      <c r="D16" s="117" t="n">
        <v>1</v>
      </c>
      <c r="E16" s="118" t="n"/>
      <c r="F16" s="118">
        <f>IF(AND(D16&lt;&gt;"",E16&lt;&gt;""),D16*E16,"")</f>
        <v/>
      </c>
    </row>
    <row r="17" s="92">
      <c r="A17" s="115" t="inlineStr">
        <is>
          <t>1.6</t>
        </is>
      </c>
      <c r="B17" s="119" t="inlineStr">
        <is>
          <t>Postojeći uzemljivač na ukrštanjima sa temeljnim trakama: lociranje (detektor, ručni iskop), otkopavanje i zaštita dva postojeća prstena FeZn 25 × 4 mm na dubini 0,8 m (kvadrati 7,50 m i 10,00 m oko ploče, 1,05 m i 2,30 m od ivice ploče — ovjereni Plan uzemljivača 3.6.9); prsten se ne prekida trajno — premješta se ispod ili oko trake ili premošćuje istim materijalom, spojevi prema EN 62305-3 sa antikorozivnom zaštitom; spoj sa uzemljenjem nosača; mjerenje otpora rasprostiranja prije i poslije radova, zapisnik.</t>
        </is>
      </c>
      <c r="C17" s="117" t="inlineStr">
        <is>
          <t>kpl</t>
        </is>
      </c>
      <c r="D17" s="117" t="n">
        <v>1</v>
      </c>
      <c r="E17" s="118" t="n"/>
      <c r="F17" s="118">
        <f>IF(AND(D17&lt;&gt;"",E17&lt;&gt;""),D17*E17,"")</f>
        <v/>
      </c>
    </row>
    <row r="18" ht="24" customHeight="1" s="92">
      <c r="A18" s="115" t="n"/>
      <c r="B18" s="120" t="n"/>
      <c r="F18" s="118" t="n"/>
    </row>
    <row r="19" ht="24" customHeight="1" s="92">
      <c r="A19" s="121" t="n"/>
      <c r="B19" s="121" t="inlineStr">
        <is>
          <t>UKUPNO 1 — NOSAČI ZA FOTONAPONSKE PANELE:</t>
        </is>
      </c>
      <c r="C19" s="122" t="n"/>
      <c r="D19" s="122" t="n"/>
      <c r="E19" s="123" t="n"/>
      <c r="F19" s="124">
        <f>SUM(F12:F18)</f>
        <v/>
      </c>
    </row>
    <row r="20" s="92">
      <c r="A20" s="125" t="inlineStr">
        <is>
          <t>2</t>
        </is>
      </c>
      <c r="B20" s="126" t="inlineStr">
        <is>
          <t>GRAĐEVINSKI RADOVI</t>
        </is>
      </c>
      <c r="C20" s="127" t="n"/>
      <c r="D20" s="127" t="n"/>
      <c r="E20" s="127" t="n"/>
      <c r="F20" s="127" t="n"/>
    </row>
    <row r="21" s="92">
      <c r="A21" s="128" t="inlineStr">
        <is>
          <t>2.1</t>
        </is>
      </c>
      <c r="B21" s="129" t="inlineStr">
        <is>
          <t>Iskop zemlje/stijene IV-V kategorije za temeljne trake nosača, do donje ivice podložnog betona. Rov širine 500 mm, dubine 950 mm, dužine 2600 mm. 4 nosača × 2 trake × 1,235 m3</t>
        </is>
      </c>
      <c r="C21" s="130" t="inlineStr">
        <is>
          <t>m3</t>
        </is>
      </c>
      <c r="D21" s="130" t="n">
        <v>9.880000000000001</v>
      </c>
      <c r="E21" s="131" t="n"/>
      <c r="F21" s="131">
        <f>IF(AND(D21&lt;&gt;"",E21&lt;&gt;""),D21*E21,"")</f>
        <v/>
      </c>
    </row>
    <row r="22" s="92">
      <c r="A22" s="128" t="inlineStr">
        <is>
          <t>2.2</t>
        </is>
      </c>
      <c r="B22" s="132" t="inlineStr">
        <is>
          <t>Zatrpavanje preostalog dijela rova zemljom od iskopa uz nabijanje u slojevima. Traka je pune dubine, pa se zatrpava samo klin uz kosinu rova. 4 nosača × 2 trake × 0,117 m3</t>
        </is>
      </c>
      <c r="C22" s="130" t="inlineStr">
        <is>
          <t>m3</t>
        </is>
      </c>
      <c r="D22" s="130" t="n">
        <v>0.9399999999999999</v>
      </c>
      <c r="E22" s="131" t="n"/>
      <c r="F22" s="131">
        <f>IF(AND(D22&lt;&gt;"",E22&lt;&gt;""),D22*E22,"")</f>
        <v/>
      </c>
    </row>
    <row r="23" s="92">
      <c r="A23" s="128" t="inlineStr">
        <is>
          <t>2.2a</t>
        </is>
      </c>
      <c r="B23" s="129" t="inlineStr">
        <is>
          <t>Odvoz i zbrinjavanje viška materijala od iskopa do deponije udaljene do 20 km.</t>
        </is>
      </c>
      <c r="C23" s="130" t="inlineStr">
        <is>
          <t>m3</t>
        </is>
      </c>
      <c r="D23" s="130" t="n">
        <v>8.94</v>
      </c>
      <c r="E23" s="131" t="n"/>
      <c r="F23" s="131">
        <f>IF(AND(D23&lt;&gt;"",E23&lt;&gt;""),D23*E23,"")</f>
        <v/>
      </c>
    </row>
    <row r="24" s="92">
      <c r="A24" s="128" t="inlineStr">
        <is>
          <t>2.2b</t>
        </is>
      </c>
      <c r="B24" s="129" t="inlineStr">
        <is>
          <t>Nabavka materijala, transport i ugradnja podložnog betona C12/15 ispod temeljnih traka, prema zahtjevima proizvođača. 4 nosača × 2 trake × 0,065 m3</t>
        </is>
      </c>
      <c r="C24" s="130" t="inlineStr">
        <is>
          <t>m3</t>
        </is>
      </c>
      <c r="D24" s="130" t="n">
        <v>0.52</v>
      </c>
      <c r="E24" s="131" t="n"/>
      <c r="F24" s="131">
        <f>IF(AND(D24&lt;&gt;"",E24&lt;&gt;""),D24*E24,"")</f>
        <v/>
      </c>
    </row>
    <row r="25" s="92">
      <c r="A25" s="128" t="inlineStr">
        <is>
          <t>2.3</t>
        </is>
      </c>
      <c r="B25" s="129" t="inlineStr">
        <is>
          <t>Nabavka materijala, transport i betoniranje DVIJE temeljne trake po nosaču, betonom C30/37 klase izloženosti XC4 + XF3 prema BAS EN 206 (aerant 4–6 %, Dmax 16, konzistencija S3), uz upotrebu oplate i njegovanje betona. Armatura B500B, zaštitni sloj ≥50 mm, prema ovjerenom statičkom proračunu iz Tačke 1.3. Obračun po m³ ugrađenog betona. Traka 400 mm (gore) / 500 mm (dolje) × 2600 mm, PUNE dubine 900 mm = 1,053 m³ po traci. 4 nosača × 2 trake × 1,053 m³
BETON I ARMATURA: beton klase C30/37, klase izloženosti XC4 + XF3 prema BAS EN 206, sa aerantom 4–6 %, Dmax 16, konzistencija S3; podložni beton C12/15 d=50 mm; armatura B500B, zaštitni sloj ≥50 mm. Klasa XF3: ista specifikacija kao na lokaciji Sjednica, radi jednog opisa za obje lokacije. Temeljna spojnica mora biti ispod dubine smrzavanja za lokalitet, koju Ponuđač navodi u ponudi. Dubina 900 mm je tenderska osnova i mjerodavna je za ponudu; konačnu dubinu i armaturu potvrđuje ovjereni statički proračun iz Tačke 1.3. Traka se betonira punom dubinom rova — vlastita težina trake je dio dokaza sigurnosti na podizanje i prevrtanje.</t>
        </is>
      </c>
      <c r="C25" s="130" t="inlineStr">
        <is>
          <t>m3</t>
        </is>
      </c>
      <c r="D25" s="130" t="n">
        <v>8.42</v>
      </c>
      <c r="E25" s="131" t="n"/>
      <c r="F25" s="131">
        <f>IF(AND(D25&lt;&gt;"",E25&lt;&gt;""),D25*E25,"")</f>
        <v/>
      </c>
    </row>
    <row r="26" s="92">
      <c r="A26" s="128" t="inlineStr">
        <is>
          <t>2.4</t>
        </is>
      </c>
      <c r="B26" s="129" t="inlineStr">
        <is>
          <t>Obrada vidljivih strana i gornje površine temeljnih traka cementnim malterom u nagibu 1,0 %, zaglađeno do crnog sjaja.</t>
        </is>
      </c>
      <c r="C26" s="130" t="inlineStr">
        <is>
          <t>m2</t>
        </is>
      </c>
      <c r="D26" s="130" t="n">
        <v>12</v>
      </c>
      <c r="E26" s="131" t="n"/>
      <c r="F26" s="131">
        <f>IF(AND(D26&lt;&gt;"",E26&lt;&gt;""),D26*E26,"")</f>
        <v/>
      </c>
    </row>
    <row r="27" s="92">
      <c r="A27" s="128" t="inlineStr">
        <is>
          <t>2.5</t>
        </is>
      </c>
      <c r="B27" s="132" t="inlineStr">
        <is>
          <t>Ostali sitni građevinski i potrošni materijal.</t>
        </is>
      </c>
      <c r="C27" s="130" t="inlineStr">
        <is>
          <t>paušal</t>
        </is>
      </c>
      <c r="D27" s="130" t="n">
        <v>1</v>
      </c>
      <c r="E27" s="131" t="n"/>
      <c r="F27" s="131">
        <f>IF(AND(D27&lt;&gt;"",E27&lt;&gt;""),D27*E27,"")</f>
        <v/>
      </c>
    </row>
    <row r="28" ht="15" customHeight="1" s="92">
      <c r="A28" s="135" t="n"/>
      <c r="B28" s="135" t="inlineStr">
        <is>
          <t>UKUPNO 2 — GRAĐEVINSKI RADOVI ZA NOSAČE FN PANELA:</t>
        </is>
      </c>
      <c r="C28" s="136" t="n"/>
      <c r="D28" s="136" t="n"/>
      <c r="E28" s="137" t="n"/>
      <c r="F28" s="138">
        <f>SUM(F21:F27)</f>
        <v/>
      </c>
    </row>
    <row r="29" ht="24" customHeight="1" s="92"/>
    <row r="30" ht="15" customHeight="1" s="92">
      <c r="A30" s="139" t="n"/>
      <c r="B30" s="139" t="inlineStr">
        <is>
          <t>UKUPNO LOT 1 — BS HAMZIĆI (bez PDV-a):</t>
        </is>
      </c>
      <c r="C30" s="136" t="n"/>
      <c r="D30" s="137" t="n"/>
      <c r="E30" s="137" t="n"/>
      <c r="F30" s="140">
        <f>F19+F28</f>
        <v/>
      </c>
    </row>
  </sheetData>
  <mergeCells count="2">
    <mergeCell ref="A2:F2"/>
    <mergeCell ref="A3:F3"/>
  </mergeCells>
  <printOptions horizontalCentered="1" verticalCentered="0" headings="0" gridLines="0" gridLinesSet="1"/>
  <pageMargins left="0.75" right="0.75" top="1" bottom="1" header="0.5" footer="0.511811023622047"/>
  <pageSetup orientation="landscape" paperSize="1" scale="100" fitToHeight="0" fitToWidth="1" pageOrder="downThenOver" blackAndWhite="0" draft="0" horizontalDpi="300" verticalDpi="300" copies="1"/>
  <headerFooter differentOddEven="0" differentFirst="0">
    <oddHeader>&amp;R&amp;"Times New Roman,Regular"&amp;12 &amp;"Arial,Regular"&amp;10 [BH Telecom | &amp;"Arial,Bold"Interno&amp;"Arial,Regular"]</oddHeader>
    <oddFooter/>
    <evenHeader/>
    <evenFooter/>
    <firstHeader/>
    <firstFooter/>
  </headerFooter>
</worksheet>
</file>

<file path=xl/worksheets/sheet3.xml><?xml version="1.0" encoding="utf-8"?>
<worksheet xmlns="http://schemas.openxmlformats.org/spreadsheetml/2006/main">
  <sheetPr filterMode="0">
    <outlinePr summaryBelow="1" summaryRight="1"/>
    <pageSetUpPr fitToPage="1"/>
  </sheetPr>
  <dimension ref="A1:F66"/>
  <sheetViews>
    <sheetView tabSelected="0" zoomScale="150" zoomScaleNormal="150" workbookViewId="0">
      <selection activeCell="A1" sqref="A1"/>
    </sheetView>
  </sheetViews>
  <sheetFormatPr baseColWidth="8" defaultColWidth="11.53515625" defaultRowHeight="15" customHeight="0" zeroHeight="0" outlineLevelRow="0"/>
  <cols>
    <col width="4.73" customWidth="1" style="91" min="1" max="1"/>
    <col width="80.59999999999999" customWidth="1" style="146" min="2" max="2"/>
    <col width="6.3" customWidth="1" style="147" min="3" max="3"/>
    <col width="4.17" customWidth="1" style="147" min="4" max="4"/>
    <col width="12.42" customWidth="1" style="91" min="5" max="5"/>
    <col width="14.29" customWidth="1" style="91" min="6" max="6"/>
  </cols>
  <sheetData>
    <row r="1" s="92">
      <c r="A1" s="93" t="inlineStr">
        <is>
          <t>PRILOG II TD</t>
        </is>
      </c>
    </row>
    <row r="2" s="92">
      <c r="A2" s="94" t="inlineStr">
        <is>
          <t>OBRAZAC ZA CIJENU PONUDE - LOT 2 — BS SJEDNICA (BILEĆA)</t>
        </is>
      </c>
    </row>
    <row r="3" ht="30" customHeight="1" s="92">
      <c r="A3" s="181" t="inlineStr">
        <is>
          <t>INFRASTRUKTURA I INSTALACIJA OPREME ZA AUTONOMNI HIBRIDNI SISTEM NAPAJANJA
BS SJEDNICA I BS HAMZIĆI (LOT 2)</t>
        </is>
      </c>
    </row>
    <row r="4"/>
    <row r="5" s="92">
      <c r="B5" s="148" t="inlineStr">
        <is>
          <t>Naziv Ponuđača:       __________________________________</t>
        </is>
      </c>
    </row>
    <row r="6" s="92">
      <c r="B6" s="148" t="inlineStr">
        <is>
          <t>Ponuda br.:              __________________________________</t>
        </is>
      </c>
    </row>
    <row r="7"/>
    <row r="8" s="92">
      <c r="A8" s="96" t="inlineStr">
        <is>
          <t>1</t>
        </is>
      </c>
      <c r="B8" s="149" t="inlineStr">
        <is>
          <t>2</t>
        </is>
      </c>
      <c r="C8" s="98" t="inlineStr">
        <is>
          <t>3</t>
        </is>
      </c>
      <c r="D8" s="98" t="inlineStr">
        <is>
          <t>4</t>
        </is>
      </c>
      <c r="E8" s="98" t="inlineStr">
        <is>
          <t>5</t>
        </is>
      </c>
      <c r="F8" s="99" t="inlineStr">
        <is>
          <t>6</t>
        </is>
      </c>
    </row>
    <row r="9" s="92">
      <c r="A9" s="150" t="inlineStr">
        <is>
          <t>r.br.</t>
        </is>
      </c>
      <c r="B9" s="151" t="inlineStr">
        <is>
          <t>Opis stavke</t>
        </is>
      </c>
      <c r="C9" s="152" t="inlineStr">
        <is>
          <t>Jed. mjere</t>
        </is>
      </c>
      <c r="D9" s="152" t="inlineStr">
        <is>
          <t>Količina</t>
        </is>
      </c>
      <c r="E9" s="152" t="inlineStr">
        <is>
          <t>Jed. cijena u KM bez PDV-a</t>
        </is>
      </c>
      <c r="F9" s="153" t="inlineStr">
        <is>
          <t>Ukupna cijena u KM bez PDV-a  6=(4x5)</t>
        </is>
      </c>
    </row>
    <row r="10" s="92">
      <c r="A10" s="154" t="n"/>
      <c r="B10" s="155" t="inlineStr">
        <is>
          <t>LOT 2 - INSTALACIJA AGREGATSKOG POSTROJENJA ZA HIBRIDNI SISTEM NAPAJANJA</t>
        </is>
      </c>
      <c r="C10" s="156" t="n"/>
      <c r="D10" s="156" t="n"/>
      <c r="E10" s="157" t="n"/>
      <c r="F10" s="158" t="n"/>
    </row>
    <row r="11" s="92">
      <c r="A11" s="125" t="n">
        <v>1</v>
      </c>
      <c r="B11" s="159" t="inlineStr">
        <is>
          <t>AUTOMATSKI DIZEL ELEKTRIČNI AGREGAT (DEA) — TEHNIČKA SPECIFIKACIJA</t>
        </is>
      </c>
      <c r="C11" s="160" t="n"/>
      <c r="D11" s="160" t="n"/>
      <c r="E11" s="127" t="n"/>
      <c r="F11" s="127" t="n"/>
    </row>
    <row r="12" s="92">
      <c r="A12" s="128" t="inlineStr">
        <is>
          <t>3.1</t>
        </is>
      </c>
      <c r="B12" s="161" t="inlineStr">
        <is>
          <t>Isporuka automatskog DEA sljedećih karakteristika. TEHNIČKA SPECIFIKACIJA — bez cijene; nabavna vrijednost agregata iskazuje se u Tački 4.1.
AGREGAT: 18 kVA / 14,4 kW (±5 %) pri cosφ 0,8, Stand-by prema ISO 8528-3; kao FG Wilson P18-6 (Skid) ili ekvivalent. Pouzdan start i rad do −20 °C. Snaga prema ISO 3046 za nadmorsku visinu preko 1000 m (lokacija 1076 m n.v.); ponuđač dostavlja derating snage za nadmorsku visinu i temperaturu.
DIZEL MOTOR: Perkins, Cummins, Cat®, Deutz ili John Deere; četverotaktni linijski, direktno ubrizgavanje, vodeno hlađen; radna zapremina cca 2,2 l, mehanički regulator broja obrtaja; gorivo BAS EN 590; elektropokretač 12 VDC, 1500 o/min; senzor temperature rashladne tečnosti, senzor pritiska ulja, start/stop relej; filter ulja, zraka i goriva; samousisna dobavna pumpa goriva 12 VDC; PREDGRIJAČ RASHLADNE TEČNOSTI na DC napajanje — direktno 48 V ili preko DC/DC pretvarača odgovarajuće snage, iz DC razvoda −48 V (Tačka 5.16); uključuje ga kontroler agregata samo za kratko predgrijavanje prije pokretanja, pri niskoj temperaturi, i nikada ne radi trajno (obavezno — zimski rad; Prilog I, Tačka 4.1). Kao Perkins 404D-22G1 ili ekvivalent.
GENERATOR: Stamford, Leroy-Somer, Mecc Alte ili Marelli; VDE 0530, IEC 60034-1; trofazni, sinhroni, samouzbudni, bezčetkični; 18 kVA pri cosφ 0,8, 1500 o/min, 3×400/230 V, 50 Hz; IP23, klasa izolacije H, AVR ±1 %, THDv 5 %.
 - POBUDA: nezavisni sistem pobude — PMG ili AREP/AUX namotaj. Trajna struja kratkog spoja najmanje 3 × In (≈78 A pri 18 kVA / 400 V) u trajanju od najmanje 10 s, prema ISO 8528-3. Standardna SHUNT pobuda NIJE prihvatljiva Ponuđač dostavlja podatak o trajnoj struji kratkog spoja iz tehničkog lista proizvođača.
 - kao Stamford BCI164C u izvedbi sa PMG ili AREP/AUX pobudom, ili ekvivalent.
KOMANDNI ORMAR (KOA): limeni, zabravljen, mehaničke zaštite min. IP41, svi priključci odozdo; sabirnice L1, L2, L3, N i PE (N i PE spojene samo na jednom mjestu); izlaz kontrolera (relej) za uključivanje DC predgrijača rashladne tečnosti (napajanje iz DC razvoda, Tačka 5.16) prije svakog pokretanja, servisna utičnica 230 V AC, rasvjeta KOA.
KOMUTACIJA — LOKACIJA NIJE PRIKLJUČENA NA ELEKTROENERGETSKU MREŽU: ne predviđa se mrežni sklopnik niti izbor izvora „mreža"; komutacija se izvodi između agregata (položaj 1) i rezervnog izvora (položaj 2, npr. mobilni agregat). Start/stop DEA komanduje se iz Huawei kontrolno-upravljačkog sistema preko modula GIM01C1, po kriteriju stanja napunjenosti baterija (SoC), a NE po ispadu mrežnog napona. Izlaz agregata vodi se na AC ulazni modul AIU03 hibridnog sistema.
KONTROLER I NADZOR: RS232, RS485, Ethernet (RJ45), USB; Modbus RTU, Modbus TCP, SNMP, SMS; integracija u krovni sistem nadzora BH Telecom-a (SCADA — Ignition) putem SNMP / Modbus TCP / Web REST API. Mjerenja: pritisak ulja, temperatura rashladnog sredstva, nivo goriva, napon i struja generatora po fazama, snaga, frekvencija, napon akumulatora, vrijeme rada motora. Alarmi: hitno zaustavljanje, nizak pritisak ulja, visoka/niska temperatura, pod/prekomjerna brzina, nizak/visok napon generatora i baterije, kvar alternatora, neuspješno pokretanje i zaustavljanje, NIZAK NIVO GORIVA, DETEKCIJA CURENJA GORIVA, POŽAR. Režimi rada: automatski, ručni, testni. Kao Deep Sea Electronics DSE 7420 MKII ili ekvivalent.
OGRANIČENJE OPTEREĆENJA (OBAVEZNO): dok agregat radi, ulazna snaga ispravljačkog sistema ograničava se u kontroleru na maks. 9,5 kW (≈82 % derativane prime snage na 1076 m n.v. i +40 °C, koja iznosi 11,6 kW). Neograničen ispravljački sistem vuče ≈12,5 kW i premašuje raspoloživu snagu. Granica ujedno drži agregat iznad 30 % opterećenja i sprječava mokri rad motora.
OSTALA OPREMA: start baterija 12 V / 70 Ah; punjač start baterije 12 V / 5 A, napajan iz DC razvoda −48 V preko DC/DC pretvarača iz Tačke 5.18 (ne sa 230 V — AC napon postoji samo dok agregat radi), programabilni, sa dojavom kvara, uvezan sa kontrolerom.</t>
        </is>
      </c>
      <c r="C12" s="128" t="n"/>
      <c r="D12" s="128" t="n"/>
      <c r="E12" s="131" t="n"/>
      <c r="F12" s="131" t="n"/>
    </row>
    <row r="13"/>
    <row r="14" s="92">
      <c r="A14" s="125" t="inlineStr">
        <is>
          <t>4</t>
        </is>
      </c>
      <c r="B14" s="159" t="inlineStr">
        <is>
          <t>AGREGAT ZA MONTAŽU U POSTOJEĆI KONTEJNER</t>
        </is>
      </c>
      <c r="C14" s="160" t="n"/>
      <c r="D14" s="160" t="n"/>
      <c r="E14" s="127" t="n"/>
      <c r="F14" s="127" t="n"/>
    </row>
    <row r="15" s="92">
      <c r="A15" s="162" t="n"/>
      <c r="B15" s="163" t="inlineStr">
        <is>
          <t>OPŠTE NAPOMENE UZ TAČKU 4: DEA se ugrađuje u postojeći kontejner u „inside skid" izvedbi (agregat na zajedničkom nosivom skid-okviru, bez vlastitog vanjskog kućišta — funkciju kućišta preuzima kontejner). Referentna izvedba data je u Prilogu III.
NOSIVOST PODA: podna konstrukcija je dimenzionisana na 10,00 kN/m² ukupnog (g+p) RAVNOMJERNO RASPODIJELJENOG opterećenja prema ovjerenom projektu lokacije („04 AG dio", tačka 4.4.2.3). Agregat (372 kg mokro na 0,96 m² = 3,80 kN/m²) i pun spremnik (≈590 kg na 0,63 m² = 9,2 kN/m²) ostaju unutar te vrijednosti, ali djeluju KONCENTRISANO na malom broju sekundarnih nosača, zbog čega je roštilj za raznošenje opterećenja iz Tačke 4.3 OBAVEZAN. Vrijednost 2,00 kN/m² iz istog projekta odnosi se samo na pokretno opterećenje prohodnog dijela poda i nije mjerodavna za oslanjanje opreme.</t>
        </is>
      </c>
      <c r="C15" s="164" t="n"/>
      <c r="D15" s="164" t="n"/>
      <c r="E15" s="162" t="n"/>
      <c r="F15" s="162" t="n"/>
    </row>
    <row r="16" s="92">
      <c r="A16" s="128" t="inlineStr">
        <is>
          <t>4.1</t>
        </is>
      </c>
      <c r="B16" s="161" t="inlineStr">
        <is>
          <t>Isporuka i montaža automatskog DEA opisanog pod Tačkom 3.1 u postojeći kontejner, u skid izvedbi, na antivibracionim gumeno-metalnim osloncima (min. 4 kom, vlastita frekvencija ≤8 Hz, statički progib ≥5 mm), postavljenim između skida i roštilja iz Tačke 4.3, sa pripremom za pričvršćenje za podlogu. Stavka obuhvata i nabavnu vrijednost agregata iz Tačke 3.1.
 - PRISTUP: unos kroz kapiju na sredini jugoistočne strane ograde (svijetla širina cca 1,00 m) i ulazna vrata kontejnera 900 × 2000 mm; ponuđač bira način unosa i dužan je u ponudi potvrditi izvodljivost
 - SERVISNI PROSTOR ( prema crtežu M-01): agregat se postavlja CENTRIRANO u slobodnom prostoru kontejnera, sa najmanje 720 mm sa JUGOZAPADNE i 720 mm sa SJEVEROISTOČNE strane (520 mm na dijelu gdje je GRO) te 1155 mm sa JUGOISTOČNE strane. Sa SJEVEROZAPADNE strane je hladnjak, koji izduvava u kanal kroz zid i ne servisira se s te strane
 - dimenzije skida prilagoditi raspoloživom prostoru
 - dozvoljeni nivo buke izvan kontejnera &lt;68 dBA pri opterećenju 75 % na 7 m, režim Standby
 - taster EMERGENCY STOP uz ulazna vrata kontejnera</t>
        </is>
      </c>
      <c r="C16" s="128" t="inlineStr">
        <is>
          <t>kpl</t>
        </is>
      </c>
      <c r="D16" s="128" t="n">
        <v>1</v>
      </c>
      <c r="E16" s="131" t="n"/>
      <c r="F16" s="131">
        <f>IF(AND(D16&lt;&gt;"",E16&lt;&gt;""),D16*E16,"")</f>
        <v/>
      </c>
    </row>
    <row r="17" s="92">
      <c r="A17" s="128" t="inlineStr">
        <is>
          <t>4.2</t>
        </is>
      </c>
      <c r="B17" s="161" t="inlineStr">
        <is>
          <t>Isporuka, montaža i povezivanje dvoplašnog spremnika dizel goriva zapremine 500 l (0,5 m³), od čeličnog lima, sa svim spojnim priborom, cjevovodima i armaturama. Zapremina spremnika nije predmet varijantnih rješenja i ne umanjuje se ni u slučaju ojačanja poda iz Tačke 4.3.
 - referentne dimenzije 1050 × 600 × 1310 mm, masa prazan 170 kg (pun ≈590 kg); smještaj u JUŽNI ugao kontejnera (uz JZ i JI zid), prema crtežu M-01
 - odušna cijev izvedena IZVAN kontejnera, otvor zaštićen metalnom mrežicom; odzračni cjevovod od čeličnih bešavnih cijevi prema DIN 2448 sa odzračnim ventilom tip AT
 - priključak za punjenje sa zatvaračem, izveden na vanjskoj strani kontejnera; obezbijediti prilaz autocisterne, a na pretakalištu ugraditi uređaj za odvođenje statičkog elektriciteta
 - priključak za pražnjenje sa zatvaračem i priključkom za crijevo
 - DVA uređaja za mjerenje nivoa goriva koji rade nezavisno, sa različitim principom prikazivanja; nivo se prosljeđuje u nadzorni centar
 - sonda za detekciju curenja goriva u međuplaštu
 - pločica sa tehničkim podacima (proizvođač, tvornički broj, tip, godina, materijal, ispitni pritisak, zapremina)
 - napajanje motora gorivom kroz Cu cijevi NO 8 mm (polazni i povratni vod); na oba voda, neposredno uz motor, ugraditi FLEKSIBILNI UMETAK (armirano crijevo za dizel gorivo) — motor stoji na antivibracionim osloncima i kruta cijev na priključku zamara i puca
 - PRIHVATNO KORITO (kada) ispod spremnika, 1150 × 640 mm, visina ruba 200 mm, od čeličnog lima sa antikorozivnom zaštitom, sa vidljivim najnižim mjestom za kontrolu i pražnjenje. Korito NIJE tankvana od 110 % — sekundarnu zaštitu čini međuplašt dvoplašnog spremnika — nego prihvata kapanje i prosipanje pri punjenju i pretakanju
 - spremnik strukturno ojačan i zaštićen od krađe goriva</t>
        </is>
      </c>
      <c r="C17" s="128" t="inlineStr">
        <is>
          <t>kpl</t>
        </is>
      </c>
      <c r="D17" s="128" t="n">
        <v>1</v>
      </c>
      <c r="E17" s="131" t="n"/>
      <c r="F17" s="131">
        <f>IF(AND(D17&lt;&gt;"",E17&lt;&gt;""),D17*E17,"")</f>
        <v/>
      </c>
    </row>
    <row r="18" s="92">
      <c r="A18" s="128" t="inlineStr">
        <is>
          <t>4.3</t>
        </is>
      </c>
      <c r="B18" s="161" t="inlineStr">
        <is>
          <t>Statički proračun nosivosti podne konstrukcije postojećeg kontejnera, ovjeren od strane ovlaštenog inženjera, te izrada i ugradnja čeličnog roštilja/rama za RAZNOŠENJE OPTEREĆENJA ispod skida agregata I ispod korita sa spremnikom, sa prenosom opterećenja na primarne nosače podne konstrukcije, uključujući antikorozivnu zaštitu i sav spojni materijal. Sekundarni nosači su HOP 100×50×3 na razmaku 0,51 m. Ponuđač proračunom dokazuje raspodjelu i dimenzije rama. Zapremina spremnika se ne umanjuje.</t>
        </is>
      </c>
      <c r="C18" s="128" t="inlineStr">
        <is>
          <t>kpl</t>
        </is>
      </c>
      <c r="D18" s="128" t="n">
        <v>1</v>
      </c>
      <c r="E18" s="131" t="n"/>
      <c r="F18" s="131">
        <f>IF(AND(D18&lt;&gt;"",E18&lt;&gt;""),D18*E18,"")</f>
        <v/>
      </c>
    </row>
    <row r="19" s="92">
      <c r="A19" s="128" t="inlineStr">
        <is>
          <t>4.4</t>
        </is>
      </c>
      <c r="B19" s="161" t="inlineStr">
        <is>
          <t>Izrada i montaža fleksibilnog spoja od plastificiranog ceradnog platna sa protuokvirom od čelične trake 30 × 1,5 mm, prema dimenzijama hladnjaka ponuđenog agregata.</t>
        </is>
      </c>
      <c r="C19" s="128" t="inlineStr">
        <is>
          <t>kpl</t>
        </is>
      </c>
      <c r="D19" s="128" t="n">
        <v>1</v>
      </c>
      <c r="E19" s="131" t="n"/>
      <c r="F19" s="131">
        <f>IF(AND(D19&lt;&gt;"",E19&lt;&gt;""),D19*E19,"")</f>
        <v/>
      </c>
    </row>
    <row r="20" s="92">
      <c r="A20" s="128" t="inlineStr">
        <is>
          <t>4.5</t>
        </is>
      </c>
      <c r="B20" s="161" t="inlineStr">
        <is>
          <t>Izrada i montaža limenog kanala za odvod toplog zraka sa agregata, od pocinčanog lima d=1 mm, sa prirubnicama 30 × 1,5 mm, komplet sa fazonskim komadima i ovjesnim priborom. Kanal je PRELAZNI KOMAD od prirubnice hladnjaka do žaluzine 600 × 600 mm kroz SJEVEROZAPADNI (SZ) zid; hladnjak je 60 mm od zida, pa je razvijena površina ≈1,0 m². Stvarnu mjeru uzeti na licu mjesta prema ponuđenom agregatu.
RASPORED (OBAVEZNO, prema crtežu M-01): kanal se vodi najkraćim putem od radijatora kroz SJEVEROZAPADNI (SZ) zid kontejnera do izlazne žaluzine iz Tačke 4.6.</t>
        </is>
      </c>
      <c r="C20" s="128" t="inlineStr">
        <is>
          <t>kpl</t>
        </is>
      </c>
      <c r="D20" s="128" t="n">
        <v>1</v>
      </c>
      <c r="E20" s="131" t="n"/>
      <c r="F20" s="131">
        <f>IF(AND(D20&lt;&gt;"",E20&lt;&gt;""),D20*E20,"")</f>
        <v/>
      </c>
    </row>
    <row r="21" s="92">
      <c r="A21" s="128" t="inlineStr">
        <is>
          <t>4.6</t>
        </is>
      </c>
      <c r="B21" s="161" t="inlineStr">
        <is>
          <t>Isporuka i montaža fiksne žaluzine na kraju kanala za odvod toplog zraka, dimenzija 600 × 600 mm, sa zaštitnom mrežicom, komplet sa montažnim materijalom.
RASPORED (OBAVEZNO, prema crtežu M-01): žaluzina se ugrađuje u SJEVEROZAPADNI (SZ) zid kontejnera, na osi radijatora agregata. Topli zrak i izduv se NE smiju izbacivati prema SJEVEROISTOČNOJ (SI) strani, gdje se nalaze postojeći vanjski ormari ICC360-HA1-C1 i MTS9302A i gdje se nalazi usis svježeg zraka.</t>
        </is>
      </c>
      <c r="C21" s="128" t="inlineStr">
        <is>
          <t>kpl</t>
        </is>
      </c>
      <c r="D21" s="128" t="n">
        <v>1</v>
      </c>
      <c r="E21" s="131" t="n"/>
      <c r="F21" s="131">
        <f>IF(AND(D21&lt;&gt;"",E21&lt;&gt;""),D21*E21,"")</f>
        <v/>
      </c>
    </row>
    <row r="22" s="92">
      <c r="A22" s="128" t="inlineStr">
        <is>
          <t>4.7</t>
        </is>
      </c>
      <c r="B22" s="161" t="inlineStr">
        <is>
          <t>Isporuka i montaža vanjske fiksne žaluzine za dovod svježeg zraka, dimenzija 500 × 700 mm, sa zaštitnom mrežicom. Žaluzine postaviti tako da se spriječi ulaz vode u kontejner prilikom padavina.
RASPORED (OBAVEZNO, prema crtežu M-01): žaluzina se ugrađuje u SJEVEROISTOČNI (SI) zid kontejnera, na jugoistočnom kraju, sa donjom ivicom na cca 0,30 m od poda. Sjeveroistočna strana je zasjenjena veći dio dana i daje najhladniji usisni zrak, čime se poboljšava hlađenje agregata. Žaluzina se postavlja jugoistočno od vanjskih ormara ICC360-HA1-C1/MTS9302A kako se ne bi usisavao topli zrak sa njih. Prostorna udaljenost od izduva i od odušne cijevi spremnika ≥3 m. Nije dozvoljeno izvesti dovod zraka kroz ulazna vrata.</t>
        </is>
      </c>
      <c r="C22" s="128" t="inlineStr">
        <is>
          <t>kpl</t>
        </is>
      </c>
      <c r="D22" s="128" t="n">
        <v>1</v>
      </c>
      <c r="E22" s="131" t="n"/>
      <c r="F22" s="131">
        <f>IF(AND(D22&lt;&gt;"",E22&lt;&gt;""),D22*E22,"")</f>
        <v/>
      </c>
    </row>
    <row r="23" s="92">
      <c r="A23" s="128" t="inlineStr">
        <is>
          <t>4.8</t>
        </is>
      </c>
      <c r="B23" s="161" t="inlineStr">
        <is>
          <t>Isporuka i montaža aksijalnog EC ventilatora 48 V DC za prinudnu ventilaciju prostora agregata, kapaciteta 1200 m³/h, Ø315 mm, napajanog iz DC razvoda −48 V (Tačka 5.16), sa termostatskim upravljanjem. Ventilator radi prema termostatu dok agregat miruje; za vrijeme rada agregata kontroler agregata ga isključuje. Minimalna potrebna ventilacija prostora iznosi 120 m³/h (6 izmjena zraka na sat).
RASPORED (prema crtežu M-01): ventilator se ugrađuje u JUGOISTOČNI (JI) zid kontejnera, u gornjoj zoni (donja ivica cca 1,75 m), sjeveroistočno od ulaznih vrata.</t>
        </is>
      </c>
      <c r="C23" s="128" t="inlineStr">
        <is>
          <t>kpl</t>
        </is>
      </c>
      <c r="D23" s="128" t="n">
        <v>1</v>
      </c>
      <c r="E23" s="131" t="n"/>
      <c r="F23" s="131">
        <f>IF(AND(D23&lt;&gt;"",E23&lt;&gt;""),D23*E23,"")</f>
        <v/>
      </c>
    </row>
    <row r="24" s="92">
      <c r="A24" s="128" t="inlineStr">
        <is>
          <t>4.9</t>
        </is>
      </c>
      <c r="B24" s="161" t="inlineStr">
        <is>
          <t>Isporuka i montaža okrugle zaštitne rešetke na izlaznoj strani ventilatora, kao OZR-1/S/RAL/315 ili ekvivalent.</t>
        </is>
      </c>
      <c r="C24" s="128" t="inlineStr">
        <is>
          <t>kpl</t>
        </is>
      </c>
      <c r="D24" s="128" t="n">
        <v>1</v>
      </c>
      <c r="E24" s="131" t="n"/>
      <c r="F24" s="131">
        <f>IF(AND(D24&lt;&gt;"",E24&lt;&gt;""),D24*E24,"")</f>
        <v/>
      </c>
    </row>
    <row r="25" s="92">
      <c r="A25" s="128" t="inlineStr">
        <is>
          <t>4.10</t>
        </is>
      </c>
      <c r="B25" s="161" t="inlineStr">
        <is>
          <t>Isporuka i montaža sistema za odvod izduvnih gasova: čelična cijev NO 50 mm sa ispušnim loncem (prigušivačem), izvedena izvan kontejnera i završena IZNAD KROVA, usmjereno naviše, sa kapom protiv upada padavina. Na kraju izduvne cijevi postaviti HVATAČ ISKRI. Dužine: od elastičnog umetka do prigušivača, sa jednim lukom 90°, 1 m; od prigušivača do izlaza iznad krova, do 4 m. Komplet sa elastičnim umetkom, lukovima i montažnim materijalom.
TRASA: fleksibilni spoj i prigušivač neposredno iza motora, uspon uz SJEVEROZAPADNI (SZ) zid kontejnera, završetak IZNAD KROVA usmjeren naviše, sa hvatačem iskri.
NO 50: sa agregatom 18 kVA protok izduvnih gasova je 192 m³/h pri 413 °C, brzina 27,2 m/s (ispod uobičajenih 30 m/s), protutlak ≈1,9 kPa uz dozvoljenih 10,2 kPa.</t>
        </is>
      </c>
      <c r="C25" s="128" t="inlineStr">
        <is>
          <t>kpl</t>
        </is>
      </c>
      <c r="D25" s="128" t="n">
        <v>1</v>
      </c>
      <c r="E25" s="131" t="n"/>
      <c r="F25" s="131">
        <f>IF(AND(D25&lt;&gt;"",E25&lt;&gt;""),D25*E25,"")</f>
        <v/>
      </c>
    </row>
    <row r="26" s="92">
      <c r="A26" s="128" t="inlineStr">
        <is>
          <t>4.11</t>
        </is>
      </c>
      <c r="B26" s="161" t="inlineStr">
        <is>
          <t>Čišćenje i bojenje izduvnog cjevovoda bojom otpornom na temperaturu 600 °C.</t>
        </is>
      </c>
      <c r="C26" s="128" t="inlineStr">
        <is>
          <t>kpl</t>
        </is>
      </c>
      <c r="D26" s="128" t="n">
        <v>1</v>
      </c>
      <c r="E26" s="131" t="n"/>
      <c r="F26" s="131">
        <f>IF(AND(D26&lt;&gt;"",E26&lt;&gt;""),D26*E26,"")</f>
        <v/>
      </c>
    </row>
    <row r="27" s="92">
      <c r="A27" s="128" t="inlineStr">
        <is>
          <t>4.12</t>
        </is>
      </c>
      <c r="B27" s="161" t="inlineStr">
        <is>
          <t>Termička izolacija izduvnog sistema kamenom vunom d=50 mm i opšivanje izduvnog cjevovoda i lonca Al limom d=1 mm. Za trasu do 5 m iz Tačke 4.10 i vanjski prečnik izolacije ≈165 mm razvijena površina je ≈3,0 m².</t>
        </is>
      </c>
      <c r="C27" s="128" t="inlineStr">
        <is>
          <t>kpl</t>
        </is>
      </c>
      <c r="D27" s="128" t="n">
        <v>1</v>
      </c>
      <c r="E27" s="131" t="n"/>
      <c r="F27" s="131">
        <f>IF(AND(D27&lt;&gt;"",E27&lt;&gt;""),D27*E27,"")</f>
        <v/>
      </c>
    </row>
    <row r="28" s="92">
      <c r="A28" s="128" t="inlineStr">
        <is>
          <t>4.13</t>
        </is>
      </c>
      <c r="B28" s="161" t="inlineStr">
        <is>
          <t>Isporuka i ugradnja opreme za zimski rad: termoizolacija cjevovoda goriva; prvo punjenje (Tačka 4.15) zimskim dizel gorivom prema EN 590, klase prema najnižoj temperaturi lokacije.</t>
        </is>
      </c>
      <c r="C28" s="128" t="inlineStr">
        <is>
          <t>kpl</t>
        </is>
      </c>
      <c r="D28" s="128" t="n">
        <v>1</v>
      </c>
      <c r="E28" s="131" t="n"/>
      <c r="F28" s="131">
        <f>IF(AND(D28&lt;&gt;"",E28&lt;&gt;""),D28*E28,"")</f>
        <v/>
      </c>
    </row>
    <row r="29" s="92">
      <c r="A29" s="128" t="inlineStr">
        <is>
          <t>4.14</t>
        </is>
      </c>
      <c r="B29" s="161" t="inlineStr">
        <is>
          <t>Protupožarna zaštita i senzorika prostora agregata: automatski detektor dima na stropu, termojavljač povišene temperature (t&gt;30 °C) i snižene temperature (podesivi prag, zadano −10 °C — upozorenje na rizik hladnog starta i goriva), aparat za početno gašenje požara S-6 sa nosačem, te automatski uređaj za gašenje požara. Svi signali se prosljeđuju do razvodnog ormara signalizacije (ROS) i u nadzorni centar.</t>
        </is>
      </c>
      <c r="C29" s="128" t="inlineStr">
        <is>
          <t>kpl</t>
        </is>
      </c>
      <c r="D29" s="128" t="n">
        <v>1</v>
      </c>
      <c r="E29" s="131" t="n"/>
      <c r="F29" s="131">
        <f>IF(AND(D29&lt;&gt;"",E29&lt;&gt;""),D29*E29,"")</f>
        <v/>
      </c>
    </row>
    <row r="30" s="92">
      <c r="A30" s="128" t="inlineStr">
        <is>
          <t>4.15</t>
        </is>
      </c>
      <c r="B30" s="161" t="inlineStr">
        <is>
          <t>Prvo punjenje spremnika dizel gorivom EURO 5 / BAS EN 590, uključujući transport gorivom na lokaciju i pretakanje. Obračun po stvarno isporučenoj količini. Prvo punjenje je 250 l (spremnik 500 l se ne puni do vrha pri primopredaji).</t>
        </is>
      </c>
      <c r="C30" s="128" t="inlineStr">
        <is>
          <t>l</t>
        </is>
      </c>
      <c r="D30" s="128" t="n">
        <v>250</v>
      </c>
      <c r="E30" s="131" t="n"/>
      <c r="F30" s="131">
        <f>IF(AND(D30&lt;&gt;"",E30&lt;&gt;""),D30*E30,"")</f>
        <v/>
      </c>
    </row>
    <row r="31" s="92">
      <c r="A31" s="128" t="inlineStr">
        <is>
          <t>4.16</t>
        </is>
      </c>
      <c r="B31" s="161" t="inlineStr">
        <is>
          <t>Sitni montažni materijal.</t>
        </is>
      </c>
      <c r="C31" s="128" t="inlineStr">
        <is>
          <t>paušal</t>
        </is>
      </c>
      <c r="D31" s="128" t="n">
        <v>1</v>
      </c>
      <c r="E31" s="131" t="n"/>
      <c r="F31" s="131">
        <f>IF(AND(D31&lt;&gt;"",E31&lt;&gt;""),D31*E31,"")</f>
        <v/>
      </c>
    </row>
    <row r="32" s="92">
      <c r="A32" s="128" t="inlineStr">
        <is>
          <t>4.17</t>
        </is>
      </c>
      <c r="B32" s="161" t="inlineStr">
        <is>
          <t>Dokumentacija izvedenog stanja: kataloška dokumentacija DEA (motor, generator, skid, kontroler) sa tehničkim crtežima, uputstvo za rukovanje i održavanje sa specifikacijom rezervnih dijelova, inovirana elektro shema ožičenja DEA i veze sa TK objektom, ispitni list proizvođača (Factory Work Load TEST), katalog i ispitni list spremnika goriva, garantni list, CE i ISO 9001 certifikat.</t>
        </is>
      </c>
      <c r="C32" s="128" t="inlineStr">
        <is>
          <t>kpl</t>
        </is>
      </c>
      <c r="D32" s="128" t="n">
        <v>1</v>
      </c>
      <c r="E32" s="131" t="n"/>
      <c r="F32" s="131">
        <f>IF(AND(D32&lt;&gt;"",E32&lt;&gt;""),D32*E32,"")</f>
        <v/>
      </c>
    </row>
    <row r="33" s="92">
      <c r="A33" s="128" t="inlineStr">
        <is>
          <t>4.18</t>
        </is>
      </c>
      <c r="B33" s="161" t="inlineStr">
        <is>
          <t>Set rezervnih dijelova za 500 sati rada DEA po preporuci proizvođača.</t>
        </is>
      </c>
      <c r="C33" s="128" t="inlineStr">
        <is>
          <t>kpl</t>
        </is>
      </c>
      <c r="D33" s="128" t="n">
        <v>1</v>
      </c>
      <c r="E33" s="131" t="n"/>
      <c r="F33" s="131">
        <f>IF(AND(D33&lt;&gt;"",E33&lt;&gt;""),D33*E33,"")</f>
        <v/>
      </c>
    </row>
    <row r="34" s="92">
      <c r="A34" s="128" t="inlineStr">
        <is>
          <t>4.19</t>
        </is>
      </c>
      <c r="B34" s="161" t="inlineStr">
        <is>
          <t>Isporuka i ugradnja protupožarnog (sigurnosnog) ventila na izlaznom vodu goriva iz spremnika, sa termičkim okidanjem (topljivi osigurač) ili solenoidnom izvedbom, koji zatvara dovod goriva pri požaru i pri aktiviranju tastera EMERGENCY STOP. Komplet sa nosačem, spojnim materijalom, uvezivanjem u sistem detekcije požara i funkcionalnim ispitivanjem.</t>
        </is>
      </c>
      <c r="C34" s="128" t="inlineStr">
        <is>
          <t>kpl</t>
        </is>
      </c>
      <c r="D34" s="128" t="n">
        <v>1</v>
      </c>
      <c r="E34" s="131" t="n"/>
      <c r="F34" s="131">
        <f>IF(AND(D34&lt;&gt;"",E34&lt;&gt;""),D34*E34,"")</f>
        <v/>
      </c>
    </row>
    <row r="35" s="92">
      <c r="A35" s="128" t="inlineStr">
        <is>
          <t>4.20</t>
        </is>
      </c>
      <c r="B35" s="161" t="inlineStr">
        <is>
          <t>Isporuka, ugradnja i parametriranje blokade ventilacije pri aktiviranju automatskog gašenja: pri detekciji požara i aktivaciji uređaja za gašenje automatski se zaustavlja agregat, isključuje aksijalni ventilator prostora i zatvaraju se motorne žaluzine dovoda i odvoda zraka, kako sredstvo za gašenje ne bi bilo odneseno strujom zraka. Uključene motorne klapne na usisnoj i izlaznoj žaluzini, upravljački modul, kablovanje i funkcionalno ispitivanje.</t>
        </is>
      </c>
      <c r="C35" s="128" t="inlineStr">
        <is>
          <t>kpl</t>
        </is>
      </c>
      <c r="D35" s="128" t="n">
        <v>1</v>
      </c>
      <c r="E35" s="131" t="n"/>
      <c r="F35" s="131">
        <f>IF(AND(D35&lt;&gt;"",E35&lt;&gt;""),D35*E35,"")</f>
        <v/>
      </c>
    </row>
    <row r="36" s="92">
      <c r="A36" s="166" t="n"/>
      <c r="B36" s="167" t="inlineStr">
        <is>
          <t>UKUPNO 4 — AGREGAT ZA MONTAŽU U KONTEJNER:</t>
        </is>
      </c>
      <c r="C36" s="168" t="n"/>
      <c r="D36" s="168" t="n"/>
      <c r="E36" s="137" t="n"/>
      <c r="F36" s="138">
        <f>SUM(F16:F35)</f>
        <v/>
      </c>
    </row>
    <row r="37"/>
    <row r="38" s="92">
      <c r="A38" s="125" t="inlineStr">
        <is>
          <t>5</t>
        </is>
      </c>
      <c r="B38" s="159" t="inlineStr">
        <is>
          <t>ELEKTROMONTAŽNI RADOVI</t>
        </is>
      </c>
      <c r="C38" s="160" t="n"/>
      <c r="D38" s="160" t="n"/>
      <c r="E38" s="127" t="n"/>
      <c r="F38" s="127" t="n"/>
    </row>
    <row r="39" s="92">
      <c r="A39" s="128" t="inlineStr">
        <is>
          <t>5.1</t>
        </is>
      </c>
      <c r="B39" s="161" t="inlineStr">
        <is>
          <t>Iskop rova dimenzija 0,40 × 0,80 m u zemlji IV-V kategorije za polaganje elektroenergetskih kablova i uzemljivačke trake, sa zatrpavanjem zemljom od iskopa te raščišćavanjem i planiranjem trase. Količina obuhvata trasu hibridni sistem — DEA i nosači FN panela do 15 m1 i krak uzemljivačke trake do nosača, ukupno do 30 m1. Obračun po ostvarenom m1.</t>
        </is>
      </c>
      <c r="C39" s="128" t="inlineStr">
        <is>
          <t>m1</t>
        </is>
      </c>
      <c r="D39" s="128" t="n">
        <v>30</v>
      </c>
      <c r="E39" s="131" t="n"/>
      <c r="F39" s="131">
        <f>IF(AND(D39&lt;&gt;"",E39&lt;&gt;""),D39*E39,"")</f>
        <v/>
      </c>
    </row>
    <row r="40" s="92">
      <c r="A40" s="128" t="inlineStr">
        <is>
          <t>5.2</t>
        </is>
      </c>
      <c r="B40" s="161" t="inlineStr">
        <is>
          <t>Isporuka i polaganje alkaten PEHD cijevi Ø50 za uvlačenje napojnog energetskog kabla, DC solarnih kablova i kabla za daljinski nadzor. Na cijevi položiti upozoravajuću PVC traku "PAŽNJA ENERGETSKI KABEL". 3 cijevi × 15,00 m</t>
        </is>
      </c>
      <c r="C40" s="128" t="inlineStr">
        <is>
          <t>m</t>
        </is>
      </c>
      <c r="D40" s="128" t="n">
        <v>45</v>
      </c>
      <c r="E40" s="131" t="n"/>
      <c r="F40" s="131">
        <f>IF(AND(D40&lt;&gt;"",E40&lt;&gt;""),D40*E40,"")</f>
        <v/>
      </c>
    </row>
    <row r="41" s="92">
      <c r="A41" s="128" t="inlineStr">
        <is>
          <t>5.3</t>
        </is>
      </c>
      <c r="B41" s="161" t="inlineStr">
        <is>
          <t>Isporuka i polaganje vruće pocinčane uzemljivačke trake Fe/Zn 25×4 mm (presjek min. 100 mm², debljina min. 2,5 mm), na dubini od 1,00 m obzirom da se radi o planinskoj lokaciji (izbjegavanje efekta zaleđivanja tla), sa svim radovima na povezivanju na postojeći prstenasti uzemljivač radi izjednačenja potencijala.</t>
        </is>
      </c>
      <c r="C41" s="128" t="inlineStr">
        <is>
          <t>m</t>
        </is>
      </c>
      <c r="D41" s="128" t="n">
        <v>40</v>
      </c>
      <c r="E41" s="131" t="n"/>
      <c r="F41" s="131">
        <f>IF(AND(D41&lt;&gt;"",E41&lt;&gt;""),D41*E41,"")</f>
        <v/>
      </c>
    </row>
    <row r="42" s="92">
      <c r="A42" s="128" t="inlineStr">
        <is>
          <t>5.4</t>
        </is>
      </c>
      <c r="B42" s="161" t="inlineStr">
        <is>
          <t>Isporuka i montaža FeZn 60×60 mm ukrsnih komada za povezivanje uzemljivačke trake na postojeći sistem uzemljenja i na nosive konstrukcije FN panela.</t>
        </is>
      </c>
      <c r="C42" s="128" t="inlineStr">
        <is>
          <t>kom</t>
        </is>
      </c>
      <c r="D42" s="128" t="n">
        <v>8</v>
      </c>
      <c r="E42" s="131" t="n"/>
      <c r="F42" s="131">
        <f>IF(AND(D42&lt;&gt;"",E42&lt;&gt;""),D42*E42,"")</f>
        <v/>
      </c>
    </row>
    <row r="43" s="92">
      <c r="A43" s="128" t="inlineStr">
        <is>
          <t>5.5</t>
        </is>
      </c>
      <c r="B43" s="161" t="inlineStr">
        <is>
          <t>Isporuka i polaganje veza na dionici hibridni sistem — DEA:
 - energetski kabl dužine do 15 m, tip NYY-J 5×6 mm²
 - signalni kabl dužine do 15 m, tip J-Y(ST)Y 4×2×0,6 mm²
 - komunikacioni Ethernet kabl dužine do 15 m, tip STP Cat5
Kablovi se polažu uvlačenjem u PEHD cijevi/bužire i u metalne kanale, komplet sa montažnim materijalom, spajanjem na obje strane, bušenjem prodora na kontejneru, ugradnjom uvodnica i zaštitnog lima. Obavezna obrada svih prodora sa aspekta sigurnosti, toplinske izolacije (pur pjena, armaflex) i estetike.</t>
        </is>
      </c>
      <c r="C43" s="128" t="inlineStr">
        <is>
          <t>kpl</t>
        </is>
      </c>
      <c r="D43" s="128" t="n">
        <v>1</v>
      </c>
      <c r="E43" s="131" t="n"/>
      <c r="F43" s="131">
        <f>IF(AND(D43&lt;&gt;"",E43&lt;&gt;""),D43*E43,"")</f>
        <v/>
      </c>
    </row>
    <row r="44" s="92">
      <c r="A44" s="128" t="inlineStr">
        <is>
          <t>5.6</t>
        </is>
      </c>
      <c r="B44" s="161" t="inlineStr">
        <is>
          <t>Isporuka i montaža NOVOG GLAVNOG RAZVODNOG ORMARA (GRO) — AC RAZVODNA SEKCIJA, za ugradnju u postojeći kontejner. Ormar je zajednička AC razvodna kutija za agregat (DEA), ispravljački sistem (Huawei ICC360-HA1-C1 ili kompatibilan) i ostalu AC opremu kontejnera. DC/solarni razvod NIJE dio ovog ormara — DC rastavljač, osigurači nizova i DC odvodnik prenapona smješteni su u zasebnom PVDB ormaru koji obezbjeđuje Kupac, fizički odvojenom od GRO-a. Ormar zidni sa nosačima, orijentacionih dimenzija 0,60 × 0,25 × 0,80 m (Š×D×V), mehaničke zaštite min. IP66, zabravljen bravom sa višestrukim zaključavanjem, kao Schrack ili ekvivalent. Sa donje strane obezbijediti prostor za uvod kablova sa PG uvodnicama, stezaljkama, elementima za uzemljenje i sabirnicama, komplet ožičeno, sa min. 30 % rezerve za naknadna proširenja.
AC RAZVOD — AGREGAT I ISPRAVLJAČI:
 - 1 kom 4p tropoložajna sklopka za odabir izvora, 1-0-2, 63 A, sa uvezanim statusom slobodnog kontakta sa kontrolerom agregata (DIG IN); položaje obilježiti: 1-„agregat", 0-„isključeno", 2-„rezerva"
 - 1 kom 3p dvopoložajna sklopka 0-1, 63 A, sa pomoćnim kontaktom za uvezivanje statusa sa kontrolerom agregata (DIG IN)
 - 3 kom 1p automatski prekidač, C, 32 A, 10 kA, za zaštitu napajanja preko DEA
 - 1 kom odvodnik prenapona AC, KOMBINOVANI TIP 1 + 2 prema EN 61643-11, Iimp ≥12,5 kA (10/350 µs) po polu, Up ≤1,5 kV, 4p, sa signalizacijom za daljinsko očitanje i uvezanim statusom sa kontrolerom agregata. Objekat ima vanjski sistem zaštite od munje (antenski stub h=38 m), pa odvodnik tipa 2 sam po sebi NIJE dovoljan prema EN 62305-4
 - 1 kom 4p zaštitna strujna sklopka (RCD) 63 A / 300 mA, S-tip (selektivna), za cjelokupni napojni krug iza sklopke izvora
 - 2 kom 1p+N RCBO 16 A / 30 mA, tip A, za utičnice i rasvjetu kontejnera
 - 1 kom 3p automatski prekidač, C, 32 A, 10 kA, za AC napajanje ispravljačkog sistema
 - 2 kom 1p automatski prekidač, C, 16 A, sa rezervom za ostalu AC opremu kontejnera i buduća proširenja
NAPOMENA - ZAŠTITA OD INDIREKTNOG DODIRA: agregat je otočni izvor ograničene struje kvara pa prekostrujna zaštita NE MOŽE ostvariti isključenje u vremenu prema IEC 60364-4-41 (0,4 s za 230 V). Zaštita zaštitnom strujnom sklopkom je stoga OBAVEZNA. Sistem uzemljenja je TN-S sa jedinstvenom tačkom spajanja N i PE u ovom ormaru; otpor uzemljenja ≤10 Ω.
Sve metalne mase ormara koje u normalnom radu nisu pod naponom povezati na sabirnice za izjednačenje potencijala. Uvodi kablova brtvljeni uvodnicama. Izraditi i pričvrstiti gravirane natpisne pločice: „GRO AC — AGREGAT/SOLAR" i oznaku W012 „OPASAN NAPON" prema EN ISO 7010.</t>
        </is>
      </c>
      <c r="C44" s="128" t="inlineStr">
        <is>
          <t>kpl</t>
        </is>
      </c>
      <c r="D44" s="128" t="n">
        <v>1</v>
      </c>
      <c r="E44" s="131" t="n"/>
      <c r="F44" s="131">
        <f>IF(AND(D44&lt;&gt;"",E44&lt;&gt;""),D44*E44,"")</f>
        <v/>
      </c>
    </row>
    <row r="45" s="92">
      <c r="A45" s="128" t="inlineStr">
        <is>
          <t>5.7</t>
        </is>
      </c>
      <c r="B45" s="161" t="inlineStr">
        <is>
          <t>Uvezivanje kontrolera DEA sa Huawei kontrolno-upravljačkim sistemom (modul GIM01C1) i sa razvodnim ormarom signalizacije (ROS), te parametriranje kriterija automatskog starta po stanju napunjenosti baterija (SoC) te postavljanje ograničenja ulazne snage ispravljačkog sistema na maks. 9,5 kW za vrijeme rada agregata, prema Tački 3.1.</t>
        </is>
      </c>
      <c r="C45" s="128" t="inlineStr">
        <is>
          <t>kpl</t>
        </is>
      </c>
      <c r="D45" s="128" t="n">
        <v>1</v>
      </c>
      <c r="E45" s="131" t="n"/>
      <c r="F45" s="131">
        <f>IF(AND(D45&lt;&gt;"",E45&lt;&gt;""),D45*E45,"")</f>
        <v/>
      </c>
    </row>
    <row r="46" s="92">
      <c r="A46" s="128" t="inlineStr">
        <is>
          <t>5.8</t>
        </is>
      </c>
      <c r="B46" s="161" t="inlineStr">
        <is>
          <t>PROVJERA UZEMLJENJA I ELEKTRIČNIH INSTALACIJA sa izdavanjem stručnog nalaza ovlaštene kuće: mjerenje otpora uzemljenja i neprekidnosti zaštitnog vodiča, mjerenje otpora izolacije, ispitivanje zaštite od indirektnog dodira, provjera izjednačenja potencijala, funkcionalno ispitivanje automatskog starta DEA. Otpor uzemljenja mora zadovoljiti zahtjeve Projektnog zadatka.</t>
        </is>
      </c>
      <c r="C46" s="128" t="inlineStr">
        <is>
          <t>kpl</t>
        </is>
      </c>
      <c r="D46" s="128" t="n">
        <v>1</v>
      </c>
      <c r="E46" s="131" t="n"/>
      <c r="F46" s="131">
        <f>IF(AND(D46&lt;&gt;"",E46&lt;&gt;""),D46*E46,"")</f>
        <v/>
      </c>
    </row>
    <row r="47" s="92">
      <c r="A47" s="128" t="inlineStr">
        <is>
          <t>5.9</t>
        </is>
      </c>
      <c r="B47" s="161" t="inlineStr">
        <is>
          <t>Ostali sitni montažni i potrošni materijal.</t>
        </is>
      </c>
      <c r="C47" s="128" t="inlineStr">
        <is>
          <t>paušal</t>
        </is>
      </c>
      <c r="D47" s="128" t="n">
        <v>1</v>
      </c>
      <c r="E47" s="131" t="n"/>
      <c r="F47" s="131">
        <f>IF(AND(D47&lt;&gt;"",E47&lt;&gt;""),D47*E47,"")</f>
        <v/>
      </c>
    </row>
    <row r="48" s="92">
      <c r="A48" s="128" t="inlineStr">
        <is>
          <t>5.10</t>
        </is>
      </c>
      <c r="B48" s="161" t="inlineStr">
        <is>
          <t>Snimanje postojećeg stanja i prevezivanje postojećih strujnih krugova na novi GRO iz Tačke 5.6. Obuhvata:
 - snimanje i evidentiranje svih 7 postojećih strujnih krugova postojećeg razvoda, sa mjerenjem opterećenja i izradom jednopolne sheme zatečenog stanja
 - prevezivanje krugova na odgovarajuće izvode novog GRO, sa označavanjem
 - SIGNALNA RASVJETA antenskog stuba h=38 m (krug K7) NE prevezuje se na novi GRO: priključuje se na DC razvod −48 V iz Tačke 5.16, svjetiljka prema Tački 5.17, sa nadzorom ispada i dojavom u sistem daljinskog nadzora — rasvjeta prepreke je trajno noćno opterećenje i ne smije biti isključena prilikom rekonfiguracije napajanja
 - Ponuđač mjeri stvarnu snagu rasvjete prepreke i dostavlja je Kupcu radi provjere energetskog bilansa (Prilog I, Tačka 1)
Komplet sa spojnim materijalom, oznakama, ispitivanjem i ažuriranom jednopolnom shemom izvedenog stanja.</t>
        </is>
      </c>
      <c r="C48" s="128" t="inlineStr">
        <is>
          <t>kpl</t>
        </is>
      </c>
      <c r="D48" s="128" t="n">
        <v>1</v>
      </c>
      <c r="E48" s="131" t="n"/>
      <c r="F48" s="131">
        <f>IF(AND(D48&lt;&gt;"",E48&lt;&gt;""),D48*E48,"")</f>
        <v/>
      </c>
    </row>
    <row r="49" s="92">
      <c r="A49" s="128" t="inlineStr">
        <is>
          <t>5.11</t>
        </is>
      </c>
      <c r="B49" s="161" t="inlineStr">
        <is>
          <t>Isporuka i ugradnja odvodnika prenapona za SIGNALNE i KOMUNIKACIONE VODOVE prema EN 61643-21: na signalnom kablu J-Y(ST)Y i na Ethernet vodu prema kontroleru agregata i sistemu daljinskog nadzora, na oba kraja dionice. Objekat ima vanjski sistem zaštite od munje i antenski stub h=38 m, pa je zaštita signalnih vodova obavezna prema EN 62305-4. Komplet sa nosačima, uzemljenjem odvodnika i ispitivanjem.</t>
        </is>
      </c>
      <c r="C49" s="128" t="inlineStr">
        <is>
          <t>kpl</t>
        </is>
      </c>
      <c r="D49" s="128" t="n">
        <v>1</v>
      </c>
      <c r="E49" s="131" t="n"/>
      <c r="F49" s="131">
        <f>IF(AND(D49&lt;&gt;"",E49&lt;&gt;""),D49*E49,"")</f>
        <v/>
      </c>
    </row>
    <row r="50" s="92">
      <c r="A50" s="128" t="inlineStr">
        <is>
          <t>5.12</t>
        </is>
      </c>
      <c r="B50" s="161" t="inlineStr">
        <is>
          <t>Isporuka i polaganje DC solarnog kabla 1×6 mm² (H1Z2Z2-K) od fotonaponskih panela do PVDB distribucije, uključujući MC4 konektore, obujmice i UV-otporne kanalice. NAPOMENA: završni priključak na ulaznu stezaljku iSSU modula izvesti presjekom 4 mm² prema izričitom zahtjevu proizvođača. Pad napona pri Imp 13,67 A i dužini 25 m iznosi 0,78 %. 2 stringa × 2 × 25,00 m</t>
        </is>
      </c>
      <c r="C50" s="128" t="inlineStr">
        <is>
          <t>m</t>
        </is>
      </c>
      <c r="D50" s="128" t="n">
        <v>100</v>
      </c>
      <c r="E50" s="131" t="n"/>
      <c r="F50" s="131">
        <f>IF(AND(D50&lt;&gt;"",E50&lt;&gt;""),D50*E50,"")</f>
        <v/>
      </c>
    </row>
    <row r="51" s="92">
      <c r="A51" s="128" t="inlineStr">
        <is>
          <t>5.13</t>
        </is>
      </c>
      <c r="B51" s="161" t="inlineStr">
        <is>
          <t>Isporuka i ugradnja odvodnika prenapona DC, tip 2 (Iimp ≥5 kA, Ucpv ≥425 V), ZA SVAKI STRING, sa pripadajućim rastavnim osiguračima, u PVDB ormaru koji obezbjeđuje Kupac ili u zasebnom kućištu min. IP55. Po jedan komplet po stringu (2 stringa × 6 modula, v. LOT 1, Tačka 1.1 i crtež E-01), zbog dužine DC trase od 25 m.</t>
        </is>
      </c>
      <c r="C51" s="128" t="inlineStr">
        <is>
          <t>kpl</t>
        </is>
      </c>
      <c r="D51" s="128" t="n">
        <v>2</v>
      </c>
      <c r="E51" s="131" t="n"/>
      <c r="F51" s="131">
        <f>IF(AND(D51&lt;&gt;"",E51&lt;&gt;""),D51*E51,"")</f>
        <v/>
      </c>
    </row>
    <row r="52" s="92">
      <c r="A52" s="128" t="inlineStr">
        <is>
          <t>5.14</t>
        </is>
      </c>
      <c r="B52" s="161" t="inlineStr">
        <is>
          <t>Montaža fotonaponskih panela na nosive konstrukcije iz LOT 1 i njihovo DC povezivanje u stringove, sa svim pripadajućim priborom za pričvršćenje, vođenjem i označavanjem kablova.
 - 12 modula 585 Wp na 3 nosača (po 4 modula), spoj u 2 stringa × 6 modula
 - DC veze: string 1 → PVDB → iSSU 1;  string 2 → PVDB → iSSU 2
 - GRO, sekcija SOLAR → Huawei iSSU
NAPOMENA: fotonaponske panele, PVDB i ostalu opremu hibridnog sistema obezbjeđuje Kupac (posebna nabavka). Ponuđač izvodi montažu, povezivanje, označavanje i ispitivanje.</t>
        </is>
      </c>
      <c r="C52" s="128" t="inlineStr">
        <is>
          <t>kpl</t>
        </is>
      </c>
      <c r="D52" s="128" t="n">
        <v>1</v>
      </c>
      <c r="E52" s="131" t="n"/>
      <c r="F52" s="131">
        <f>IF(AND(D52&lt;&gt;"",E52&lt;&gt;""),D52*E52,"")</f>
        <v/>
      </c>
    </row>
    <row r="53" s="92">
      <c r="A53" s="128" t="inlineStr">
        <is>
          <t>5.16</t>
        </is>
      </c>
      <c r="B53" s="161" t="inlineStr">
        <is>
          <t>DC razvod −48 V za trajne potrošače: isporuka, montaža i povezivanje ormarića u kontejneru, napojenog sa slobodnog DC izvoda ormara Huawei ICC360-HA1-C1 (vlastiti zaštitni prekidač), kablom 2 × 6 mm² kroz zid kontejnera. DC prekidači za izvode: svjetiljka za obilježavanje stuba (Tačka 5.17), vatrodojavna centrala i punjač akumulatora za start agregata (preko DC/DC pretvarača iz Tačke 5.18), ventilator prostora (Tačka 4.8), predgrijač rashladne tečnosti agregata (Tačka 3.1) i rasvjeta kontejnera. Uključena jedna LED svjetiljka 48 V DC, IP65, sa prekidačem uz ulazna vrata — svjetlo i kad agregat ne radi. Signalizacija ispada prema SMU. Dozvoljena potrošnja trajnih potrošača: Prilog I, Tačka 4.5.</t>
        </is>
      </c>
      <c r="C53" s="128" t="inlineStr">
        <is>
          <t>kpl</t>
        </is>
      </c>
      <c r="D53" s="128" t="n">
        <v>1</v>
      </c>
      <c r="E53" s="131" t="n"/>
      <c r="F53" s="131">
        <f>IF(AND(D53&lt;&gt;"",E53&lt;&gt;""),D53*E53,"")</f>
        <v/>
      </c>
    </row>
    <row r="54" s="92">
      <c r="A54" s="128" t="inlineStr">
        <is>
          <t>5.17</t>
        </is>
      </c>
      <c r="B54" s="161" t="inlineStr">
        <is>
          <t>Svjetiljka za obilježavanje antenskog stuba 48 V DC: zamjena postojeće svjetiljke LED svjetiljkom za 48 V DC niskog intenziteta, sa foto-senzorom i nadzorom ispada; kabl od DC razvoda iz Tačke 5.16 do svjetiljke po postojećoj trasi uz stub; uključen rad na visini. Alternativa: postojeća svjetiljka ostaje i napaja se preko DC/AC pretvarača ≤100 W; Ponuđač bira rješenje. Dozvoljena potrošnja: Prilog I, Tačka 4.5.</t>
        </is>
      </c>
      <c r="C54" s="128" t="inlineStr">
        <is>
          <t>kpl</t>
        </is>
      </c>
      <c r="D54" s="128" t="n">
        <v>1</v>
      </c>
      <c r="E54" s="131" t="n"/>
      <c r="F54" s="131">
        <f>IF(AND(D54&lt;&gt;"",E54&lt;&gt;""),D54*E54,"")</f>
        <v/>
      </c>
    </row>
    <row r="55" s="92">
      <c r="A55" s="128" t="inlineStr">
        <is>
          <t>5.18</t>
        </is>
      </c>
      <c r="B55" s="161" t="inlineStr">
        <is>
          <t>DC/DC pretvarači za trajne potrošače, napojeni iz DC razvoda iz Tačke 5.16: 48 V → nazivni napon vatrodojavne centrale (centrala zadržava vlastite akumulatore prema EN 54-4) i punjač akumulatora za start agregata (48 V → 12/24 V prema agregatu), sa strujnim ograničenjem, zaštitom i signalizacijom.</t>
        </is>
      </c>
      <c r="C55" s="128" t="inlineStr">
        <is>
          <t>kpl</t>
        </is>
      </c>
      <c r="D55" s="128" t="n">
        <v>1</v>
      </c>
      <c r="E55" s="131" t="n"/>
      <c r="F55" s="131">
        <f>IF(AND(D55&lt;&gt;"",E55&lt;&gt;""),D55*E55,"")</f>
        <v/>
      </c>
    </row>
    <row r="56" s="92">
      <c r="A56" s="135" t="n"/>
      <c r="B56" s="167" t="inlineStr">
        <is>
          <t>UKUPNO 5 — ELEKTROMONTAŽNI RADOVI:</t>
        </is>
      </c>
      <c r="C56" s="168" t="n"/>
      <c r="D56" s="168" t="n"/>
      <c r="E56" s="137" t="n"/>
      <c r="F56" s="138">
        <f>SUM(F39:F55)</f>
        <v/>
      </c>
    </row>
    <row r="57"/>
    <row r="58" s="92">
      <c r="A58" s="125" t="inlineStr">
        <is>
          <t>6</t>
        </is>
      </c>
      <c r="B58" s="159" t="inlineStr">
        <is>
          <t>PUŠTANJE U RAD, OBUKA I DOKUMENTACIJA (DO POTPUNE GOTOVOSTI)</t>
        </is>
      </c>
      <c r="C58" s="160" t="n"/>
      <c r="D58" s="160" t="n"/>
      <c r="E58" s="127" t="n"/>
      <c r="F58" s="127" t="n"/>
    </row>
    <row r="59" s="92">
      <c r="A59" s="162" t="n"/>
      <c r="B59" s="169" t="n"/>
      <c r="C59" s="168" t="n"/>
      <c r="D59" s="168" t="n"/>
      <c r="E59" s="137" t="n"/>
      <c r="F59" s="162" t="n"/>
    </row>
    <row r="60" s="92">
      <c r="A60" s="128" t="inlineStr">
        <is>
          <t>6.1</t>
        </is>
      </c>
      <c r="B60" s="161" t="inlineStr">
        <is>
          <t>Puštanje u rad kompletnog sistema, funkcionalno testiranje automatskog starta DEA po kriteriju stanja baterija, testiranje prelaska izvora i 72-satni probni rad sa zapisom parametara.</t>
        </is>
      </c>
      <c r="C60" s="128" t="inlineStr">
        <is>
          <t>kpl</t>
        </is>
      </c>
      <c r="D60" s="128" t="n">
        <v>1</v>
      </c>
      <c r="E60" s="131" t="n"/>
      <c r="F60" s="131">
        <f>IF(AND(D60&lt;&gt;"",E60&lt;&gt;""),D60*E60,"")</f>
        <v/>
      </c>
    </row>
    <row r="61" s="92">
      <c r="A61" s="128" t="inlineStr">
        <is>
          <t>6.2</t>
        </is>
      </c>
      <c r="B61" s="161" t="inlineStr">
        <is>
          <t>Uvezivanje kontrolera DEA u krovni sistem nadzora i upravljanja BH Telecom-a (NetEco Management System), sa isporukom licenciranog softverskog paketa, instalacijom u nadzornom centru, uvezivanjem do najbližeg switcha i testiranjem prosljeđivanja alarma.</t>
        </is>
      </c>
      <c r="C61" s="128" t="inlineStr">
        <is>
          <t>kpl</t>
        </is>
      </c>
      <c r="D61" s="128" t="n">
        <v>1</v>
      </c>
      <c r="E61" s="131" t="n"/>
      <c r="F61" s="131">
        <f>IF(AND(D61&lt;&gt;"",E61&lt;&gt;""),D61*E61,"")</f>
        <v/>
      </c>
    </row>
    <row r="62" s="92">
      <c r="A62" s="128" t="inlineStr">
        <is>
          <t>6.3</t>
        </is>
      </c>
      <c r="B62" s="161" t="inlineStr">
        <is>
          <t>Obuka osoblja Investitora (do 4 osobe) za rukovanje i osnovno održavanje sistema, u trajanju od min. 1 radnog dana.</t>
        </is>
      </c>
      <c r="C62" s="128" t="inlineStr">
        <is>
          <t>kpl</t>
        </is>
      </c>
      <c r="D62" s="128" t="n">
        <v>1</v>
      </c>
      <c r="E62" s="131" t="n"/>
      <c r="F62" s="131">
        <f>IF(AND(D62&lt;&gt;"",E62&lt;&gt;""),D62*E62,"")</f>
        <v/>
      </c>
    </row>
    <row r="63" s="92">
      <c r="A63" s="128" t="inlineStr">
        <is>
          <t>6.4</t>
        </is>
      </c>
      <c r="B63" s="161" t="inlineStr">
        <is>
          <t>Izrada dokumentacije izvedenog stanja za kompletan LOT 2 (elektro, mašinski i građevinski dio), u 3 štampana primjerka i u elektronskoj formi (PDF + izvorni DWG/DOCX).</t>
        </is>
      </c>
      <c r="C63" s="128" t="inlineStr">
        <is>
          <t>kpl</t>
        </is>
      </c>
      <c r="D63" s="128" t="n">
        <v>1</v>
      </c>
      <c r="E63" s="131" t="n"/>
      <c r="F63" s="131">
        <f>IF(AND(D63&lt;&gt;"",E63&lt;&gt;""),D63*E63,"")</f>
        <v/>
      </c>
    </row>
    <row r="64" s="92">
      <c r="A64" s="135" t="n"/>
      <c r="B64" s="167" t="inlineStr">
        <is>
          <t>UKUPNO 6 — PUŠTANJE U RAD, OBUKA I DOKUMENTACIJA:</t>
        </is>
      </c>
      <c r="C64" s="168" t="n"/>
      <c r="D64" s="168" t="n"/>
      <c r="E64" s="137" t="n"/>
      <c r="F64" s="138">
        <f>SUM(F60:F63)</f>
        <v/>
      </c>
    </row>
    <row r="65"/>
    <row r="66" s="92">
      <c r="A66" s="170" t="n"/>
      <c r="B66" s="171" t="inlineStr">
        <is>
          <t>UKUPNO LOT 2 — BS SJEDNICA (bez PDV-a):</t>
        </is>
      </c>
      <c r="C66" s="168" t="n"/>
      <c r="D66" s="168" t="n"/>
      <c r="E66" s="137" t="n"/>
      <c r="F66" s="172">
        <f>F36+F56+F64</f>
        <v/>
      </c>
    </row>
  </sheetData>
  <mergeCells count="2">
    <mergeCell ref="A2:F2"/>
    <mergeCell ref="A3:F3"/>
  </mergeCells>
  <printOptions horizontalCentered="0" verticalCentered="0" headings="0" gridLines="0" gridLinesSet="1"/>
  <pageMargins left="0.7" right="0.7" top="0.75" bottom="0.75" header="0.3" footer="0.511811023622047"/>
  <pageSetup orientation="portrait" paperSize="9" scale="100" fitToHeight="0" fitToWidth="1" pageOrder="downThenOver" blackAndWhite="0" draft="0" horizontalDpi="300" verticalDpi="300" copies="1"/>
  <headerFooter differentOddEven="0" differentFirst="0">
    <oddHeader>&amp;R&amp;"Times New Roman,Regular"&amp;12 &amp;"Arial,Regular"&amp;10 [BH Telecom | &amp;"Arial,Bold"Interno&amp;"Arial,Regular"]</oddHeader>
    <oddFooter/>
    <evenHeader/>
    <evenFooter/>
    <firstHeader/>
    <firstFooter/>
  </headerFooter>
</worksheet>
</file>

<file path=xl/worksheets/sheet4.xml><?xml version="1.0" encoding="utf-8"?>
<worksheet xmlns="http://schemas.openxmlformats.org/spreadsheetml/2006/main">
  <sheetPr filterMode="0">
    <outlinePr summaryBelow="1" summaryRight="1"/>
    <pageSetUpPr fitToPage="1"/>
  </sheetPr>
  <dimension ref="A1:F67"/>
  <sheetViews>
    <sheetView tabSelected="0" zoomScale="150" zoomScaleNormal="150" workbookViewId="0">
      <selection activeCell="A1" sqref="A1"/>
    </sheetView>
  </sheetViews>
  <sheetFormatPr baseColWidth="8" defaultColWidth="11.53515625" defaultRowHeight="15" customHeight="0" zeroHeight="0" outlineLevelRow="0"/>
  <cols>
    <col width="4.73" customWidth="1" style="91" min="1" max="1"/>
    <col width="80.59999999999999" customWidth="1" style="146" min="2" max="2"/>
    <col width="6.3" customWidth="1" style="147" min="3" max="3"/>
    <col width="4.17" customWidth="1" style="147" min="4" max="4"/>
    <col width="12.42" customWidth="1" style="91" min="5" max="5"/>
    <col width="14.29" customWidth="1" style="91" min="6" max="6"/>
  </cols>
  <sheetData>
    <row r="1" s="92">
      <c r="A1" s="93" t="inlineStr">
        <is>
          <t>PRILOG II TD</t>
        </is>
      </c>
    </row>
    <row r="2" s="92">
      <c r="A2" s="94" t="inlineStr">
        <is>
          <t>OBRAZAC ZA CIJENU PONUDE - LOT 2 — BS HAMZIĆI (ČITLUK)</t>
        </is>
      </c>
    </row>
    <row r="3" ht="30" customHeight="1" s="92">
      <c r="A3" s="181" t="inlineStr">
        <is>
          <t>INFRASTRUKTURA I INSTALACIJA OPREME ZA AUTONOMNI HIBRIDNI SISTEM NAPAJANJA
BS SJEDNICA I BS HAMZIĆI (LOT 2)</t>
        </is>
      </c>
    </row>
    <row r="4"/>
    <row r="5" s="92">
      <c r="B5" s="148" t="inlineStr">
        <is>
          <t>Naziv Ponuđača:       __________________________________</t>
        </is>
      </c>
    </row>
    <row r="6" s="92">
      <c r="B6" s="148" t="inlineStr">
        <is>
          <t>Ponuda br.:              __________________________________</t>
        </is>
      </c>
    </row>
    <row r="7"/>
    <row r="8" s="92">
      <c r="A8" s="96" t="inlineStr">
        <is>
          <t>1</t>
        </is>
      </c>
      <c r="B8" s="149" t="inlineStr">
        <is>
          <t>2</t>
        </is>
      </c>
      <c r="C8" s="98" t="inlineStr">
        <is>
          <t>3</t>
        </is>
      </c>
      <c r="D8" s="98" t="inlineStr">
        <is>
          <t>4</t>
        </is>
      </c>
      <c r="E8" s="98" t="inlineStr">
        <is>
          <t>5</t>
        </is>
      </c>
      <c r="F8" s="99" t="inlineStr">
        <is>
          <t>6</t>
        </is>
      </c>
    </row>
    <row r="9" s="92">
      <c r="A9" s="150" t="inlineStr">
        <is>
          <t>r.br.</t>
        </is>
      </c>
      <c r="B9" s="151" t="inlineStr">
        <is>
          <t>Opis stavke</t>
        </is>
      </c>
      <c r="C9" s="152" t="inlineStr">
        <is>
          <t>Jed. mjere</t>
        </is>
      </c>
      <c r="D9" s="152" t="inlineStr">
        <is>
          <t>Količina</t>
        </is>
      </c>
      <c r="E9" s="152" t="inlineStr">
        <is>
          <t>Jed. cijena u KM bez PDV-a</t>
        </is>
      </c>
      <c r="F9" s="153" t="inlineStr">
        <is>
          <t>Ukupna cijena u KM bez PDV-a  6=(4x5)</t>
        </is>
      </c>
    </row>
    <row r="10" s="92">
      <c r="A10" s="154" t="n"/>
      <c r="B10" s="155" t="inlineStr">
        <is>
          <t>LOT 2 - INSTALACIJA AGREGATSKOG POSTROJENJA ZA HIBRIDNI SISTEM NAPAJANJA</t>
        </is>
      </c>
      <c r="C10" s="156" t="n"/>
      <c r="D10" s="156" t="n"/>
      <c r="E10" s="157" t="n"/>
      <c r="F10" s="158" t="n"/>
    </row>
    <row r="11" s="92">
      <c r="A11" s="125" t="n">
        <v>1</v>
      </c>
      <c r="B11" s="159" t="inlineStr">
        <is>
          <t>AUTOMATSKI DIZEL ELEKTRIČNI AGREGAT (DEA) — TEHNIČKA SPECIFIKACIJA</t>
        </is>
      </c>
      <c r="C11" s="160" t="n"/>
      <c r="D11" s="160" t="n"/>
      <c r="E11" s="127" t="n"/>
      <c r="F11" s="127" t="n"/>
    </row>
    <row r="12" s="92">
      <c r="A12" s="128" t="inlineStr">
        <is>
          <t>3.1</t>
        </is>
      </c>
      <c r="B12" s="161" t="inlineStr">
        <is>
          <t>Isporuka automatskog DEA sljedećih karakteristika. TEHNIČKA SPECIFIKACIJA — bez cijene; nabavna vrijednost agregata iskazuje se u Tački 4.1.
AGREGAT: 18 kVA / 14,4 kW (±5 %) pri cosφ 0,8, Stand-by prema ISO 8528-3; kao FG Wilson P18-6 (Skid) ili ekvivalent. Pouzdan start i rad do −20 °C. Snaga prema ISO 3046 za nadmorsku visinu lokacije 493 m n.v. i temperaturu okoline +40 °C: faktor 0,931, standby 13,4 kW, prime 12,3 kW; ponuđač dostavlja derating snage za nadmorsku visinu i temperaturu.
DIZEL MOTOR: Perkins, Cummins, Cat®, Deutz ili John Deere; četverotaktni linijski, direktno ubrizgavanje, vodeno hlađen; radna zapremina cca 2,2 l, mehanički regulator broja obrtaja; gorivo BAS EN 590; elektropokretač 12 VDC, 1500 o/min; senzor temperature rashladne tečnosti, senzor pritiska ulja, start/stop relej; filter ulja, zraka i goriva; samousisna dobavna pumpa goriva 12 VDC; PREDGRIJAČ RASHLADNE TEČNOSTI na DC napajanje — direktno 48 V ili preko DC/DC pretvarača odgovarajuće snage, iz DC razvoda −48 V (Tačka 5.16); uključuje ga kontroler agregata samo za kratko predgrijavanje prije pokretanja, pri niskoj temperaturi, i nikada ne radi trajno (obavezno — zimski rad; Prilog I, Tačka 4.1). Kao Perkins 404D-22G1 ili ekvivalent.
GENERATOR: Stamford, Leroy-Somer, Mecc Alte ili Marelli; VDE 0530, IEC 60034-1; trofazni, sinhroni, samouzbudni, bezčetkični; 18 kVA pri cosφ 0,8, 1500 o/min, 3×400/230 V, 50 Hz; IP23, klasa izolacije H, AVR ±1 %, THDv 5 %.
 - POBUDA: nezavisni sistem pobude — PMG ili AREP/AUX namotaj. Trajna struja kratkog spoja najmanje 3 × In (≈78 A pri 18 kVA / 400 V) u trajanju od najmanje 10 s, prema ISO 8528-3. Standardna SHUNT pobuda NIJE prihvatljiva Ponuđač dostavlja podatak o trajnoj struji kratkog spoja iz tehničkog lista proizvođača.
 - kao Stamford BCI164C u izvedbi sa PMG ili AREP/AUX pobudom, ili ekvivalent.
KOMANDNI ORMAR (KOA): limeni, zabravljen, mehaničke zaštite min. IP41, svi priključci odozdo; sabirnice L1, L2, L3, N i PE (N i PE spojene samo na jednom mjestu); izlaz kontrolera (relej) za uključivanje DC predgrijača rashladne tečnosti (napajanje iz DC razvoda, Tačka 5.16) prije svakog pokretanja, servisna utičnica 230 V AC, rasvjeta KOA.
KOMUTACIJA — LOKACIJA NIJE PRIKLJUČENA NA ELEKTROENERGETSKU MREŽU: ne predviđa se mrežni sklopnik niti izbor izvora „mreža"; komutacija se izvodi između agregata (položaj 1) i rezervnog izvora (položaj 2, npr. mobilni agregat). Start/stop DEA komanduje se iz Huawei kontrolno-upravljačkog sistema preko modula GIM01C1, po kriteriju stanja napunjenosti baterija (SoC), a NE po ispadu mrežnog napona. Izlaz agregata vodi se na AC ulazni modul AIU03 hibridnog sistema.
KONTROLER I NADZOR: RS232, RS485, Ethernet (RJ45), USB; Modbus RTU, Modbus TCP, SNMP, SMS; integracija u krovni sistem nadzora BH Telecom-a (SCADA — Ignition) putem SNMP / Modbus TCP / Web REST API. Mjerenja: pritisak ulja, temperatura rashladnog sredstva, nivo goriva, napon i struja generatora po fazama, snaga, frekvencija, napon akumulatora, vrijeme rada motora. Alarmi: hitno zaustavljanje, nizak pritisak ulja, visoka/niska temperatura, pod/prekomjerna brzina, nizak/visok napon generatora i baterije, kvar alternatora, neuspješno pokretanje i zaustavljanje, NIZAK NIVO GORIVA, DETEKCIJA CURENJA GORIVA, POŽAR. Režimi rada: automatski, ručni, testni. Kao Deep Sea Electronics DSE 7420 MKII ili ekvivalent.
OGRANIČENJE OPTEREĆENJA (OBAVEZNO): dok agregat radi, ulazna snaga ispravljačkog sistema ograničava se u kontroleru na maks. 9,5 kW (≈77 % derativane prime snage na 493 m n.v. i +40 °C, koja iznosi 12,3 kW). Neograničen ispravljački sistem vuče ≈12,5 kW i premašuje raspoloživu snagu. Granica ujedno drži agregat iznad 30 % opterećenja i sprječava mokri rad motora.
OSTALA OPREMA: start baterija 12 V / 70 Ah; punjač start baterije 12 V / 5 A, napajan iz DC razvoda −48 V preko DC/DC pretvarača iz Tačke 5.18 (ne sa 230 V — AC napon postoji samo dok agregat radi), programabilni, sa dojavom kvara, uvezan sa kontrolerom.</t>
        </is>
      </c>
      <c r="C12" s="128" t="n"/>
      <c r="D12" s="128" t="n"/>
      <c r="E12" s="131" t="n"/>
      <c r="F12" s="131" t="n"/>
    </row>
    <row r="13"/>
    <row r="14" s="92">
      <c r="A14" s="125" t="inlineStr">
        <is>
          <t>4</t>
        </is>
      </c>
      <c r="B14" s="159" t="inlineStr">
        <is>
          <t>AGREGAT ZA MONTAŽU U POSTOJEĆI KONTEJNER</t>
        </is>
      </c>
      <c r="C14" s="160" t="n"/>
      <c r="D14" s="160" t="n"/>
      <c r="E14" s="127" t="n"/>
      <c r="F14" s="127" t="n"/>
    </row>
    <row r="15" s="92">
      <c r="A15" s="162" t="n"/>
      <c r="B15" s="163" t="inlineStr">
        <is>
          <t>OPŠTE NAPOMENE UZ TAČKU 4: DEA se ugrađuje u postojeći kontejner u „inside skid" izvedbi (agregat na zajedničkom nosivom skid-okviru, bez vlastitog vanjskog kućišta — funkciju kućišta preuzima kontejner). Referentna izvedba data je u Prilogu III.
NOSIVOST PODA: podna konstrukcija je dimenzionisana na 10,00 kN/m² ukupnog (g+p) RAVNOMJERNO RASPODIJELJENOG opterećenja prema ovjerenom projektu lokacije (AG dio, tačka 4.4.2). Agregat (372 kg mokro na 0,96 m² = 3,80 kN/m²) i pun spremnik (≈590 kg na 0,63 m² = 9,2 kN/m²) ostaju unutar te vrijednosti, ali djeluju KONCENTRISANO na malom broju sekundarnih nosača, zbog čega je roštilj za raznošenje opterećenja iz Tačke 4.3 OBAVEZAN. Vrijednost 2,00 kN/m² iz istog projekta odnosi se samo na pokretno opterećenje prohodnog dijela poda i nije mjerodavna za oslanjanje opreme.</t>
        </is>
      </c>
      <c r="C15" s="164" t="n"/>
      <c r="D15" s="164" t="n"/>
      <c r="E15" s="162" t="n"/>
      <c r="F15" s="162" t="n"/>
    </row>
    <row r="16" s="92">
      <c r="A16" s="128" t="inlineStr">
        <is>
          <t>4.1</t>
        </is>
      </c>
      <c r="B16" s="161" t="inlineStr">
        <is>
          <t>Isporuka i montaža automatskog DEA opisanog pod Tačkom 3.1 u postojeći kontejner, u skid izvedbi, na antivibracionim gumeno-metalnim osloncima (min. 4 kom, vlastita frekvencija ≤8 Hz, statički progib ≥5 mm), postavljenim između skida i roštilja iz Tačke 4.3, sa pripremom za pričvršćenje za podlogu. Stavka obuhvata i nabavnu vrijednost agregata iz Tačke 3.1.
 - PRISTUP: unos kroz kapiju na SJEVEROZAPADNOJ (SZ) strani ograde (svijetla širina 1,30 m) i ulazna vrata kontejnera na SZ zidu, 1,00 × 2,15 m — skid 620 mm kroz vrata svijetle širine 990 mm, pravo po osi; najprije agregat, zatim spremnik; ponuđač bira način unosa i dužan je u ponudi potvrditi izvodljivost
 - SERVISNI PROSTOR (prema crtežu H-04): os agregata SZ–JI u sredini kontejnera; slobodan prostor: jugozapadna (JZ) strana 0,78 m, sjeveroistočna (SI) strana 0,78 m, kraj prema SZ 0,97 m do čela GRO; od vrata do korita spremnika 0,95 m slobodno. Sa JUGOISTOČNE (JI) strane je hladnjak, koji preko plenuma od 0,12 m izduvava kroz postojeće otvore klima-uređaja Stulz u sredini JI zida, u haubu koja topli zrak usmjerava naviše (Tačke 4.5 i 4.6) i ne servisira se s te strane. Ponuđač potvrđuje da su servisna mjesta agregata dostupna sa JZ i SI strane i sa SZ kraja
 - dimenzije skida prilagoditi raspoloživom prostoru
 - dozvoljeni nivo buke izvan kontejnera &lt;68 dBA pri opterećenju 75 % na 7 m, režim Standby
 - taster EMERGENCY STOP uz ulazna vrata kontejnera</t>
        </is>
      </c>
      <c r="C16" s="128" t="inlineStr">
        <is>
          <t>kpl</t>
        </is>
      </c>
      <c r="D16" s="128" t="n">
        <v>1</v>
      </c>
      <c r="E16" s="131" t="n"/>
      <c r="F16" s="131">
        <f>IF(AND(D16&lt;&gt;"",E16&lt;&gt;""),D16*E16,"")</f>
        <v/>
      </c>
    </row>
    <row r="17" s="92">
      <c r="A17" s="128" t="inlineStr">
        <is>
          <t>4.2</t>
        </is>
      </c>
      <c r="B17" s="161" t="inlineStr">
        <is>
          <t>Isporuka, montaža i povezivanje dvoplašnog spremnika dizel goriva zapremine 500 l (0,5 m³), od čeličnog lima, sa svim spojnim priborom, cjevovodima i armaturama. Zapremina spremnika nije predmet varijantnih rješenja i ne umanjuje se ni u slučaju ojačanja poda iz Tačke 4.3.
 - referentne dimenzije 1050 × 600 × 1310 mm, masa prazan 170 kg (pun ≈590 kg); smještaj u SJEVERNI ugao kontejnera (uz SZ i SI zid), prema crtežu H-04 — prihvatno korito 1150 × 640 mm uz SZ i SI zid; izduvni cjevovod je na jugozapadnoj strani agregata
 - odušna cijev izvedena IZVAN kontejnera kroz SZ zid, sjeveroistočno od vrata, do stojeće cijevi između kontejnera i SZ ograde (završetak +2,80 m) — principijelno prema H-04, konačno prema elaboratu zaštite od požara; najmanje 3 m od završetka izduva i od usisa zraka; otvor zaštićen metalnom mrežicom; odzračni cjevovod od čeličnih bešavnih cijevi prema DIN 2448 sa odzračnim ventilom tip AT
 - priključak za punjenje sa zatvaračem, izveden na vanjskoj strani kontejnera; obezbijediti prilaz autocisterne, a na pretakalištu ugraditi uređaj za odvođenje statičkog elektriciteta
 - priključak za pražnjenje sa zatvaračem i priključkom za crijevo
 - DVA uređaja za mjerenje nivoa goriva koji rade nezavisno, sa različitim principom prikazivanja; nivo se prosljeđuje u nadzorni centar
 - sonda za detekciju curenja goriva u međuplaštu
 - pločica sa tehničkim podacima (proizvođač, tvornički broj, tip, godina, materijal, ispitni pritisak, zapremina)
 - napajanje motora gorivom kroz Cu cijevi NO 8 mm (polazni i povratni vod); na oba voda, neposredno uz motor, ugraditi FLEKSIBILNI UMETAK (armirano crijevo za dizel gorivo) — motor stoji na antivibracionim osloncima i kruta cijev na priključku zamara i puca
 - PRIHVATNO KORITO (kada) ispod spremnika, 1150 × 640 mm, visina ruba 200 mm, od čeličnog lima sa antikorozivnom zaštitom, sa vidljivim najnižim mjestom za kontrolu i pražnjenje. Korito NIJE tankvana od 110 % — sekundarnu zaštitu čini međuplašt dvoplašnog spremnika — nego prihvata kapanje i prosipanje pri punjenju i pretakanju
 - spremnik strukturno ojačan i zaštićen od krađe goriva</t>
        </is>
      </c>
      <c r="C17" s="128" t="inlineStr">
        <is>
          <t>kpl</t>
        </is>
      </c>
      <c r="D17" s="128" t="n">
        <v>1</v>
      </c>
      <c r="E17" s="131" t="n"/>
      <c r="F17" s="131">
        <f>IF(AND(D17&lt;&gt;"",E17&lt;&gt;""),D17*E17,"")</f>
        <v/>
      </c>
    </row>
    <row r="18" s="92">
      <c r="A18" s="128" t="inlineStr">
        <is>
          <t>4.3</t>
        </is>
      </c>
      <c r="B18" s="161" t="inlineStr">
        <is>
          <t>Statički proračun nosivosti podne konstrukcije postojećeg kontejnera, ovjeren od strane ovlaštenog inženjera, te izrada i ugradnja čeličnog roštilja/rama za RAZNOŠENJE OPTEREĆENJA ispod skida agregata I ispod korita sa spremnikom, sa prenosom opterećenja na primarne nosače podne konstrukcije, uključujući antikorozivnu zaštitu i sav spojni materijal. Sekundarni nosači su HOP 100×50×3 na razmaku 0,51 m. Ponuđač proračunom dokazuje raspodjelu i dimenzije rama. Zapremina spremnika se ne umanjuje.</t>
        </is>
      </c>
      <c r="C18" s="128" t="inlineStr">
        <is>
          <t>kpl</t>
        </is>
      </c>
      <c r="D18" s="128" t="n">
        <v>1</v>
      </c>
      <c r="E18" s="131" t="n"/>
      <c r="F18" s="131">
        <f>IF(AND(D18&lt;&gt;"",E18&lt;&gt;""),D18*E18,"")</f>
        <v/>
      </c>
    </row>
    <row r="19" s="92">
      <c r="A19" s="128" t="inlineStr">
        <is>
          <t>4.4</t>
        </is>
      </c>
      <c r="B19" s="161" t="inlineStr">
        <is>
          <t>Izrada i montaža fleksibilnog spoja od plastificiranog ceradnog platna sa protuokvirom od čelične trake 30 × 1,5 mm, prema dimenzijama hladnjaka ponuđenog agregata.</t>
        </is>
      </c>
      <c r="C19" s="128" t="inlineStr">
        <is>
          <t>kpl</t>
        </is>
      </c>
      <c r="D19" s="128" t="n">
        <v>1</v>
      </c>
      <c r="E19" s="131" t="n"/>
      <c r="F19" s="131">
        <f>IF(AND(D19&lt;&gt;"",E19&lt;&gt;""),D19*E19,"")</f>
        <v/>
      </c>
    </row>
    <row r="20" s="92">
      <c r="A20" s="128" t="inlineStr">
        <is>
          <t>4.5</t>
        </is>
      </c>
      <c r="B20" s="161" t="inlineStr">
        <is>
          <t>Izrada i montaža limenog kanala za odvod toplog zraka sa agregata, od pocinčanog lima d=1 mm, sa prirubnicama 30 × 1,5 mm, komplet sa fazonskim komadima i ovjesnim priborom. Kanal je PLENUM od prirubnice hladnjaka do POSTOJEĆIH OTVORA demontiranog klima-uređaja Stulz (Tačka 5.15) u sredini JUGOISTOČNOG (JI) zida kontejnera, sa prirubnicama, fleksibilnim spojem prema hladnjaku (Tačka 4.4) i brtvljenjem; razvijena površina ≈1,5 m². Stvarnu mjeru uzeti na licu mjesta prema ponuđenom agregatu.
RASPORED (OBAVEZNO, prema crtežu H-04): kanal se vodi najkraćim putem od radijatora do postojećih otvora klima-uređaja Stulz u sredini JUGOISTOČNOG (JI) zida kontejnera, u kojima se ugrađuje izlazna žaluzina iz Tačke 4.6.</t>
        </is>
      </c>
      <c r="C20" s="128" t="inlineStr">
        <is>
          <t>kpl</t>
        </is>
      </c>
      <c r="D20" s="128" t="n">
        <v>1</v>
      </c>
      <c r="E20" s="131" t="n"/>
      <c r="F20" s="131">
        <f>IF(AND(D20&lt;&gt;"",E20&lt;&gt;""),D20*E20,"")</f>
        <v/>
      </c>
    </row>
    <row r="21" s="92">
      <c r="A21" s="128" t="inlineStr">
        <is>
          <t>4.6</t>
        </is>
      </c>
      <c r="B21" s="161" t="inlineStr">
        <is>
          <t>Prilagođenje postojećih otvora demontiranog klima-uređaja Stulz (Tačka 5.15) u sredini JUGOISTOČNOG (JI) zida kontejnera za izlaz toplog zraka sa hladnjaka agregata: spajanje i/ili proširenje otvora na žaluzinu bruto površine ≥0,36 m² (npr. 600 × 600 mm), sa ojačanim okvirom u zidnom panelu; isporuka i montaža fiksne žaluzine na kraju kanala za odvod toplog zraka, sa zaštitnom mrežicom protiv insekata i ptica, komplet sa montažnim materijalom; vani hauba 700 × 600 mm od pocinčanog lima, zatvorenih bočnih strana i dna, sa rešetkom na vrhu (≈+1,30 m) — topli zrak se usmjerava NAVIŠE, ne prema FN polju; hauba najmanje 1,0 m od nogu stuba; neiskorišteni dio postojećih otvora zatvoriti sendvič panelom d=60 mm istovjetnim zidu kontejnera, sa brtvljenjem.
RASPORED (OBAVEZNO, prema crtežu H-04): žaluzina se ugrađuje u JUGOISTOČNI (JI) zid kontejnera, na mjestu postojećih otvora klima-uređaja Stulz u sredini zida, sa haubom koja topli zrak usmjerava naviše. Topli zrak i izduv se NE smiju izbacivati prema SJEVEROZAPADNOJ (SZ) strani, gdje su ulazna vrata kontejnera, prema JUGOZAPADNOJ (JZ) strani, gdje su vanjski ormari ICC360-HA1-C1 i MTS i FN polje, niti prema usisu svježeg zraka na SJEVEROISTOČNOM (SI) zidu (Tačka 4.7).</t>
        </is>
      </c>
      <c r="C21" s="128" t="inlineStr">
        <is>
          <t>kpl</t>
        </is>
      </c>
      <c r="D21" s="128" t="n">
        <v>1</v>
      </c>
      <c r="E21" s="131" t="n"/>
      <c r="F21" s="131">
        <f>IF(AND(D21&lt;&gt;"",E21&lt;&gt;""),D21*E21,"")</f>
        <v/>
      </c>
    </row>
    <row r="22" s="92">
      <c r="A22" s="128" t="inlineStr">
        <is>
          <t>4.7</t>
        </is>
      </c>
      <c r="B22" s="161" t="inlineStr">
        <is>
          <t>Isporuka i montaža vanjske fiksne žaluzine za dovod svježeg zraka, dimenzija 500 × 700 mm, sa zaštitnom mrežicom. Žaluzine postaviti tako da se spriječi ulaz vode u kontejner prilikom padavina.
RASPORED (OBAVEZNO, prema crtežu H-04): žaluzina se ugrađuje u SJEVEROISTOČNI (SI) zid kontejnera, uz alternator (sjeverozapadni kraj agregata), jugoistočno od korita spremnika, sa donjom ivicom na cca 0,30 m od poda; sjeveroistočna strana je zasjenjena veći dio dana. Prostorna udaljenost od izduva i od odušne cijevi spremnika ≥3 m (H-04: ≥3,2 m do završetka izduva i do oduška spremnika). Nije dozvoljeno izvesti dovod zraka kroz ulazna vrata.</t>
        </is>
      </c>
      <c r="C22" s="128" t="inlineStr">
        <is>
          <t>kpl</t>
        </is>
      </c>
      <c r="D22" s="128" t="n">
        <v>1</v>
      </c>
      <c r="E22" s="131" t="n"/>
      <c r="F22" s="131">
        <f>IF(AND(D22&lt;&gt;"",E22&lt;&gt;""),D22*E22,"")</f>
        <v/>
      </c>
    </row>
    <row r="23" s="92">
      <c r="A23" s="128" t="inlineStr">
        <is>
          <t>4.8</t>
        </is>
      </c>
      <c r="B23" s="161" t="inlineStr">
        <is>
          <t>Isporuka i montaža aksijalnog EC ventilatora 48 V DC, izvlačnog — izbacuje zrak iz prostora, za prinudnu ventilaciju prostora agregata, kapaciteta 1200 m³/h, Ø315 mm, napajanog iz DC razvoda −48 V (Tačka 5.16), sa termostatskim upravljanjem. Ventilator radi prema termostatu dok agregat miruje; za vrijeme rada agregata kontroler agregata ga isključuje. Minimalna potrebna ventilacija prostora iznosi 120 m³/h (6 izmjena zraka na sat).
RASPORED (prema crtežu H-04): ventilator se ugrađuje u JUGOISTOČNI (JI) zid kontejnera, u gornjoj zoni, sjeveroistočno od haube (Tačka 4.6).</t>
        </is>
      </c>
      <c r="C23" s="128" t="inlineStr">
        <is>
          <t>kpl</t>
        </is>
      </c>
      <c r="D23" s="128" t="n">
        <v>1</v>
      </c>
      <c r="E23" s="131" t="n"/>
      <c r="F23" s="131">
        <f>IF(AND(D23&lt;&gt;"",E23&lt;&gt;""),D23*E23,"")</f>
        <v/>
      </c>
    </row>
    <row r="24" s="92">
      <c r="A24" s="128" t="inlineStr">
        <is>
          <t>4.9</t>
        </is>
      </c>
      <c r="B24" s="161" t="inlineStr">
        <is>
          <t>Isporuka i montaža okrugle zaštitne rešetke na izlaznoj strani ventilatora, kao OZR-1/S/RAL/315 ili ekvivalent.</t>
        </is>
      </c>
      <c r="C24" s="128" t="inlineStr">
        <is>
          <t>kpl</t>
        </is>
      </c>
      <c r="D24" s="128" t="n">
        <v>1</v>
      </c>
      <c r="E24" s="131" t="n"/>
      <c r="F24" s="131">
        <f>IF(AND(D24&lt;&gt;"",E24&lt;&gt;""),D24*E24,"")</f>
        <v/>
      </c>
    </row>
    <row r="25" s="92">
      <c r="A25" s="128" t="inlineStr">
        <is>
          <t>4.10</t>
        </is>
      </c>
      <c r="B25" s="161" t="inlineStr">
        <is>
          <t>Isporuka i montaža sistema za odvod izduvnih gasova: čelična cijev NO 50 mm sa ispušnim loncem (prigušivačem), izvedena izvan kontejnera HORIZONTALNO kroz JUGOISTOČNI (JI) zid kontejnera, iz jugozapadnog (JZ) prolaza, zapadno od haube, na visini ≈+2,30 m, usmjereno prema jugoistoku, sa kapom protiv upada padavina. Prodor kroz zid izvesti sa termički izolovanom zaštitnom čahurom. Na kraju izduvne cijevi postaviti HVATAČ ISKRI. Dužine: od elastičnog umetka do prigušivača, sa jednim lukom 90°, 1 m; od prigušivača do izlaza kroz JI zid, do 4 m. Komplet sa elastičnim umetkom, lukovima i montažnim materijalom.
TRASA: fleksibilni spoj neposredno iza motora, prigušivač u jugozapadnom (JZ) prolazu, horizontalni izlaz kroz JUGOISTOČNI (JI) zid kontejnera na ≈+2,30 m, zapadno od haube, sa završetkom ≥0,40 m od zida — dalje od FN polja, ormara i ulaznih vrata, sa hvatačem iskri. Završetak iznad krova NIJE moguć: platforma antenskog stuba na +3,0 m nalazi se iznad krova kontejnera.
NO 50: sa agregatom 18 kVA protok izduvnih gasova je 192 m³/h pri 413 °C, brzina 27,2 m/s (ispod uobičajenih 30 m/s), protutlak ≈1,6 kPa uz dozvoljenih 10,2 kPa.</t>
        </is>
      </c>
      <c r="C25" s="128" t="inlineStr">
        <is>
          <t>kpl</t>
        </is>
      </c>
      <c r="D25" s="128" t="n">
        <v>1</v>
      </c>
      <c r="E25" s="131" t="n"/>
      <c r="F25" s="131">
        <f>IF(AND(D25&lt;&gt;"",E25&lt;&gt;""),D25*E25,"")</f>
        <v/>
      </c>
    </row>
    <row r="26" s="92">
      <c r="A26" s="128" t="inlineStr">
        <is>
          <t>4.11</t>
        </is>
      </c>
      <c r="B26" s="161" t="inlineStr">
        <is>
          <t>Čišćenje i bojenje izduvnog cjevovoda bojom otpornom na temperaturu 600 °C.</t>
        </is>
      </c>
      <c r="C26" s="128" t="inlineStr">
        <is>
          <t>kpl</t>
        </is>
      </c>
      <c r="D26" s="128" t="n">
        <v>1</v>
      </c>
      <c r="E26" s="131" t="n"/>
      <c r="F26" s="131">
        <f>IF(AND(D26&lt;&gt;"",E26&lt;&gt;""),D26*E26,"")</f>
        <v/>
      </c>
    </row>
    <row r="27" s="92">
      <c r="A27" s="128" t="inlineStr">
        <is>
          <t>4.12</t>
        </is>
      </c>
      <c r="B27" s="161" t="inlineStr">
        <is>
          <t>Termička izolacija izduvnog sistema kamenom vunom d=50 mm i opšivanje izduvnog cjevovoda i lonca Al limom d=1 mm. Za trasu iz Tačke 4.10 (≈1 m do prigušivača u JZ prolazu, zatim ≈2 m do JI zida) i vanjski prečnik izolacije ≈165 mm razvijena površina je ≈2,5 m².</t>
        </is>
      </c>
      <c r="C27" s="128" t="inlineStr">
        <is>
          <t>kpl</t>
        </is>
      </c>
      <c r="D27" s="128" t="n">
        <v>1</v>
      </c>
      <c r="E27" s="131" t="n"/>
      <c r="F27" s="131">
        <f>IF(AND(D27&lt;&gt;"",E27&lt;&gt;""),D27*E27,"")</f>
        <v/>
      </c>
    </row>
    <row r="28" s="92">
      <c r="A28" s="128" t="inlineStr">
        <is>
          <t>4.13</t>
        </is>
      </c>
      <c r="B28" s="161" t="inlineStr">
        <is>
          <t>Isporuka i ugradnja opreme za zimski rad: termoizolacija cjevovoda goriva; prvo punjenje (Tačka 4.15) zimskim dizel gorivom prema EN 590, klase prema najnižoj temperaturi lokacije.</t>
        </is>
      </c>
      <c r="C28" s="128" t="inlineStr">
        <is>
          <t>kpl</t>
        </is>
      </c>
      <c r="D28" s="128" t="n">
        <v>1</v>
      </c>
      <c r="E28" s="131" t="n"/>
      <c r="F28" s="131">
        <f>IF(AND(D28&lt;&gt;"",E28&lt;&gt;""),D28*E28,"")</f>
        <v/>
      </c>
    </row>
    <row r="29" s="92">
      <c r="A29" s="128" t="inlineStr">
        <is>
          <t>4.14</t>
        </is>
      </c>
      <c r="B29" s="161" t="inlineStr">
        <is>
          <t>Protupožarna zaštita i senzorika prostora agregata: automatski detektor dima na stropu, termojavljač povišene temperature (t&gt;30 °C) i snižene temperature (podesivi prag, zadano −10 °C — upozorenje na rizik hladnog starta i goriva), aparat za početno gašenje požara S-6 sa nosačem, te automatski uređaj za gašenje požara. Svi signali se prosljeđuju do razvodnog ormara signalizacije (ROS) i u nadzorni centar.</t>
        </is>
      </c>
      <c r="C29" s="128" t="inlineStr">
        <is>
          <t>kpl</t>
        </is>
      </c>
      <c r="D29" s="128" t="n">
        <v>1</v>
      </c>
      <c r="E29" s="131" t="n"/>
      <c r="F29" s="131">
        <f>IF(AND(D29&lt;&gt;"",E29&lt;&gt;""),D29*E29,"")</f>
        <v/>
      </c>
    </row>
    <row r="30" s="92">
      <c r="A30" s="128" t="inlineStr">
        <is>
          <t>4.15</t>
        </is>
      </c>
      <c r="B30" s="161" t="inlineStr">
        <is>
          <t>Prvo punjenje spremnika dizel gorivom EURO 5 / BAS EN 590, uključujući transport gorivom na lokaciju i pretakanje. Obračun po stvarno isporučenoj količini. Prvo punjenje je 250 l (spremnik 500 l se ne puni do vrha pri primopredaji).</t>
        </is>
      </c>
      <c r="C30" s="128" t="inlineStr">
        <is>
          <t>l</t>
        </is>
      </c>
      <c r="D30" s="128" t="n">
        <v>250</v>
      </c>
      <c r="E30" s="131" t="n"/>
      <c r="F30" s="131">
        <f>IF(AND(D30&lt;&gt;"",E30&lt;&gt;""),D30*E30,"")</f>
        <v/>
      </c>
    </row>
    <row r="31" s="92">
      <c r="A31" s="128" t="inlineStr">
        <is>
          <t>4.16</t>
        </is>
      </c>
      <c r="B31" s="161" t="inlineStr">
        <is>
          <t>Sitni montažni materijal.</t>
        </is>
      </c>
      <c r="C31" s="128" t="inlineStr">
        <is>
          <t>paušal</t>
        </is>
      </c>
      <c r="D31" s="128" t="n">
        <v>1</v>
      </c>
      <c r="E31" s="131" t="n"/>
      <c r="F31" s="131">
        <f>IF(AND(D31&lt;&gt;"",E31&lt;&gt;""),D31*E31,"")</f>
        <v/>
      </c>
    </row>
    <row r="32" s="92">
      <c r="A32" s="128" t="inlineStr">
        <is>
          <t>4.17</t>
        </is>
      </c>
      <c r="B32" s="161" t="inlineStr">
        <is>
          <t>Dokumentacija izvedenog stanja: kataloška dokumentacija DEA (motor, generator, skid, kontroler) sa tehničkim crtežima, uputstvo za rukovanje i održavanje sa specifikacijom rezervnih dijelova, inovirana elektro shema ožičenja DEA i veze sa TK objektom, ispitni list proizvođača (Factory Work Load TEST), katalog i ispitni list spremnika goriva, garantni list, CE i ISO 9001 certifikat.</t>
        </is>
      </c>
      <c r="C32" s="128" t="inlineStr">
        <is>
          <t>kpl</t>
        </is>
      </c>
      <c r="D32" s="128" t="n">
        <v>1</v>
      </c>
      <c r="E32" s="131" t="n"/>
      <c r="F32" s="131">
        <f>IF(AND(D32&lt;&gt;"",E32&lt;&gt;""),D32*E32,"")</f>
        <v/>
      </c>
    </row>
    <row r="33" s="92">
      <c r="A33" s="128" t="inlineStr">
        <is>
          <t>4.18</t>
        </is>
      </c>
      <c r="B33" s="161" t="inlineStr">
        <is>
          <t>Set rezervnih dijelova za 500 sati rada DEA po preporuci proizvođača.</t>
        </is>
      </c>
      <c r="C33" s="128" t="inlineStr">
        <is>
          <t>kpl</t>
        </is>
      </c>
      <c r="D33" s="128" t="n">
        <v>1</v>
      </c>
      <c r="E33" s="131" t="n"/>
      <c r="F33" s="131">
        <f>IF(AND(D33&lt;&gt;"",E33&lt;&gt;""),D33*E33,"")</f>
        <v/>
      </c>
    </row>
    <row r="34" s="92">
      <c r="A34" s="128" t="inlineStr">
        <is>
          <t>4.19</t>
        </is>
      </c>
      <c r="B34" s="161" t="inlineStr">
        <is>
          <t>Isporuka i ugradnja protupožarnog (sigurnosnog) ventila na izlaznom vodu goriva iz spremnika, sa termičkim okidanjem (topljivi osigurač) ili solenoidnom izvedbom, koji zatvara dovod goriva pri požaru i pri aktiviranju tastera EMERGENCY STOP. Komplet sa nosačem, spojnim materijalom, uvezivanjem u sistem detekcije požara i funkcionalnim ispitivanjem.</t>
        </is>
      </c>
      <c r="C34" s="128" t="inlineStr">
        <is>
          <t>kpl</t>
        </is>
      </c>
      <c r="D34" s="128" t="n">
        <v>1</v>
      </c>
      <c r="E34" s="131" t="n"/>
      <c r="F34" s="131">
        <f>IF(AND(D34&lt;&gt;"",E34&lt;&gt;""),D34*E34,"")</f>
        <v/>
      </c>
    </row>
    <row r="35" s="92">
      <c r="A35" s="128" t="inlineStr">
        <is>
          <t>4.20</t>
        </is>
      </c>
      <c r="B35" s="161" t="inlineStr">
        <is>
          <t>Isporuka, ugradnja i parametriranje blokade ventilacije pri aktiviranju automatskog gašenja: pri detekciji požara i aktivaciji uređaja za gašenje automatski se zaustavlja agregat, isključuje aksijalni ventilator prostora i zatvaraju se motorne žaluzine dovoda i odvoda zraka, kako sredstvo za gašenje ne bi bilo odneseno strujom zraka. Uključene motorne klapne na usisnoj i izlaznoj žaluzini, upravljački modul, kablovanje i funkcionalno ispitivanje.</t>
        </is>
      </c>
      <c r="C35" s="128" t="inlineStr">
        <is>
          <t>kpl</t>
        </is>
      </c>
      <c r="D35" s="128" t="n">
        <v>1</v>
      </c>
      <c r="E35" s="131" t="n"/>
      <c r="F35" s="131">
        <f>IF(AND(D35&lt;&gt;"",E35&lt;&gt;""),D35*E35,"")</f>
        <v/>
      </c>
    </row>
    <row r="36" s="92">
      <c r="A36" s="166" t="n"/>
      <c r="B36" s="167" t="inlineStr">
        <is>
          <t>UKUPNO 4 — AGREGAT ZA MONTAŽU U KONTEJNER:</t>
        </is>
      </c>
      <c r="C36" s="168" t="n"/>
      <c r="D36" s="168" t="n"/>
      <c r="E36" s="137" t="n"/>
      <c r="F36" s="138">
        <f>SUM(F16:F35)</f>
        <v/>
      </c>
    </row>
    <row r="37"/>
    <row r="38" s="92">
      <c r="A38" s="125" t="inlineStr">
        <is>
          <t>5</t>
        </is>
      </c>
      <c r="B38" s="159" t="inlineStr">
        <is>
          <t>ELEKTROMONTAŽNI RADOVI</t>
        </is>
      </c>
      <c r="C38" s="160" t="n"/>
      <c r="D38" s="160" t="n"/>
      <c r="E38" s="127" t="n"/>
      <c r="F38" s="127" t="n"/>
    </row>
    <row r="39" s="92">
      <c r="A39" s="128" t="inlineStr">
        <is>
          <t>5.1</t>
        </is>
      </c>
      <c r="B39" s="161" t="inlineStr">
        <is>
          <t>Iskop rova dimenzija 0,40 × 0,80 m u zemlji IV-V kategorije za polaganje elektroenergetskih kablova i uzemljivačke trake, sa zatrpavanjem zemljom od iskopa te raščišćavanjem i planiranjem trase. Količina obuhvata trasu hibridni sistem — DEA i nosači FN panela do 10 m1 i krak uzemljivačke trake do nosača, ukupno do 20 m1. Obračun po ostvarenom m1.</t>
        </is>
      </c>
      <c r="C39" s="128" t="inlineStr">
        <is>
          <t>m1</t>
        </is>
      </c>
      <c r="D39" s="128" t="n">
        <v>20</v>
      </c>
      <c r="E39" s="131" t="n"/>
      <c r="F39" s="131">
        <f>IF(AND(D39&lt;&gt;"",E39&lt;&gt;""),D39*E39,"")</f>
        <v/>
      </c>
    </row>
    <row r="40" s="92">
      <c r="A40" s="128" t="inlineStr">
        <is>
          <t>5.2</t>
        </is>
      </c>
      <c r="B40" s="161" t="inlineStr">
        <is>
          <t>Isporuka i polaganje alkaten PEHD cijevi Ø50 za uvlačenje napojnog energetskog kabla, DC solarnih kablova i kabla za daljinski nadzor. Na cijevi položiti upozoravajuću PVC traku "PAŽNJA ENERGETSKI KABEL". 3 cijevi × 10,00 m</t>
        </is>
      </c>
      <c r="C40" s="128" t="inlineStr">
        <is>
          <t>m</t>
        </is>
      </c>
      <c r="D40" s="128" t="n">
        <v>30</v>
      </c>
      <c r="E40" s="131" t="n"/>
      <c r="F40" s="131">
        <f>IF(AND(D40&lt;&gt;"",E40&lt;&gt;""),D40*E40,"")</f>
        <v/>
      </c>
    </row>
    <row r="41" s="92">
      <c r="A41" s="128" t="inlineStr">
        <is>
          <t>5.3</t>
        </is>
      </c>
      <c r="B41" s="161" t="inlineStr">
        <is>
          <t>Isporuka i polaganje vruće pocinčane uzemljivačke trake Fe/Zn 25×4 mm (presjek min. 100 mm², debljina min. 2,5 mm), na dubini od 1,00 m radi mehaničke zaštite i zaštite od smrzavanja tla (jedan opis za obje lokacije); tlo je krš, stijena blizu površine, pa iskop može biti u stijeni, sa svim radovima na povezivanju na postojeći prstenasti uzemljivač radi izjednačenja potencijala.</t>
        </is>
      </c>
      <c r="C41" s="128" t="inlineStr">
        <is>
          <t>m</t>
        </is>
      </c>
      <c r="D41" s="128" t="n">
        <v>30</v>
      </c>
      <c r="E41" s="131" t="n"/>
      <c r="F41" s="131">
        <f>IF(AND(D41&lt;&gt;"",E41&lt;&gt;""),D41*E41,"")</f>
        <v/>
      </c>
    </row>
    <row r="42" s="92">
      <c r="A42" s="128" t="inlineStr">
        <is>
          <t>5.4</t>
        </is>
      </c>
      <c r="B42" s="161" t="inlineStr">
        <is>
          <t>Isporuka i montaža FeZn 60×60 mm ukrsnih komada za povezivanje uzemljivačke trake na postojeći sistem uzemljenja i na nosive konstrukcije FN panela.</t>
        </is>
      </c>
      <c r="C42" s="128" t="inlineStr">
        <is>
          <t>kom</t>
        </is>
      </c>
      <c r="D42" s="128" t="n">
        <v>8</v>
      </c>
      <c r="E42" s="131" t="n"/>
      <c r="F42" s="131">
        <f>IF(AND(D42&lt;&gt;"",E42&lt;&gt;""),D42*E42,"")</f>
        <v/>
      </c>
    </row>
    <row r="43" s="92">
      <c r="A43" s="128" t="inlineStr">
        <is>
          <t>5.5</t>
        </is>
      </c>
      <c r="B43" s="161" t="inlineStr">
        <is>
          <t>Isporuka i polaganje veza na dionici hibridni sistem — DEA; ormari Huawei ICC360-HA1-C1 i MTS stoje na ploči na JZ strani, iza FN polja (principijelno), a veza sa GRO vodi ≈3–5 m kroz JZ zid kontejnera:
 - energetski kabl dužine ≈3–5 m, tip NYY-J 5×6 mm²
 - signalni kabl dužine ≈3–5 m, tip J-Y(ST)Y 4×2×0,6 mm²
 - komunikacioni Ethernet kabl dužine ≈3–5 m, tip STP Cat5
Kablovi se polažu uvlačenjem u PEHD cijevi/bužire i u metalne kanale, komplet sa montažnim materijalom, spajanjem na obje strane, bušenjem prodora na kontejneru, ugradnjom uvodnica i zaštitnog lima. Obavezna obrada svih prodora sa aspekta sigurnosti, toplinske izolacije (pur pjena, armaflex) i estetike.</t>
        </is>
      </c>
      <c r="C43" s="128" t="inlineStr">
        <is>
          <t>kpl</t>
        </is>
      </c>
      <c r="D43" s="128" t="n">
        <v>1</v>
      </c>
      <c r="E43" s="131" t="n"/>
      <c r="F43" s="131">
        <f>IF(AND(D43&lt;&gt;"",E43&lt;&gt;""),D43*E43,"")</f>
        <v/>
      </c>
    </row>
    <row r="44" s="92">
      <c r="A44" s="128" t="inlineStr">
        <is>
          <t>5.6</t>
        </is>
      </c>
      <c r="B44" s="161" t="inlineStr">
        <is>
          <t>Isporuka i montaža NOVOG GLAVNOG RAZVODNOG ORMARA (GRO) — AC RAZVODNA SEKCIJA, za ugradnju u postojeći kontejner. Ormar je zajednička AC razvodna kutija za agregat (DEA), ispravljački sistem (Huawei ICC360-HA1-C1 ili kompatibilan) i ostalu AC opremu kontejnera. DC/solarni razvod NIJE dio ovog ormara — DC rastavljač, osigurači nizova i DC odvodnik prenapona smješteni su u zasebnom PVDB ormaru koji obezbjeđuje Kupac, fizički odvojenom od GRO-a. Ormar zidni sa nosačima, za SZ zid jugozapadno od ulaznih vrata (širina zida 0,595 m), širine ≤0,50 m — orijentacionih dimenzija npr. 0,50 × 0,25 × 0,80 m (Š×D×V), mehaničke zaštite min. IP66, zabravljen bravom sa višestrukim zaključavanjem, kao Schrack ili ekvivalent. Sa donje strane obezbijediti prostor za uvod kablova sa PG uvodnicama, stezaljkama, elementima za uzemljenje i sabirnicama, komplet ožičeno, sa min. 30 % rezerve za naknadna proširenja.
AC RAZVOD — AGREGAT I ISPRAVLJAČI:
 - 1 kom 4p tropoložajna sklopka za odabir izvora, 1-0-2, 63 A, sa uvezanim statusom slobodnog kontakta sa kontrolerom agregata (DIG IN); položaje obilježiti: 1-„agregat", 0-„isključeno", 2-„rezerva"
 - 1 kom 3p dvopoložajna sklopka 0-1, 63 A, sa pomoćnim kontaktom za uvezivanje statusa sa kontrolerom agregata (DIG IN)
 - 3 kom 1p automatski prekidač, C, 32 A, 10 kA, za zaštitu napajanja preko DEA
 - 1 kom odvodnik prenapona AC, KOMBINOVANI TIP 1 + 2 prema EN 61643-11, Iimp ≥12,5 kA (10/350 µs) po polu, Up ≤1,5 kV, 4p, sa signalizacijom za daljinsko očitanje i uvezanim statusom sa kontrolerom agregata. Objekat ima vanjski sistem zaštite od munje (rešetkasti antenski stub h=32 m, platforme na +3,0 / +12,0 / +30,0 m), pa odvodnik tipa 2 sam po sebi NIJE dovoljan prema EN 62305-4
 - 1 kom 4p zaštitna strujna sklopka (RCD) 63 A / 300 mA, S-tip (selektivna), za cjelokupni napojni krug iza sklopke izvora
 - 2 kom 1p+N RCBO 16 A / 30 mA, tip A, za utičnice i rasvjetu kontejnera
 - 1 kom 3p automatski prekidač, C, 32 A, 10 kA, za AC napajanje ispravljačkog sistema
 - 2 kom 1p automatski prekidač, C, 16 A, sa rezervom za ostalu AC opremu kontejnera i buduća proširenja
NAPOMENA - ZAŠTITA OD INDIREKTNOG DODIRA: agregat je otočni izvor ograničene struje kvara pa prekostrujna zaštita NE MOŽE ostvariti isključenje u vremenu prema IEC 60364-4-41 (0,4 s za 230 V). Zaštita zaštitnom strujnom sklopkom je stoga OBAVEZNA. Sistem uzemljenja je TN-S sa jedinstvenom tačkom spajanja N i PE u ovom ormaru; otpor uzemljenja ≤10 Ω.
Sve metalne mase ormara koje u normalnom radu nisu pod naponom povezati na sabirnice za izjednačenje potencijala. Uvodi kablova brtvljeni uvodnicama. Izraditi i pričvrstiti gravirane natpisne pločice: „GRO AC — AGREGAT/SOLAR" i oznaku W012 „OPASAN NAPON" prema EN ISO 7010.</t>
        </is>
      </c>
      <c r="C44" s="128" t="inlineStr">
        <is>
          <t>kpl</t>
        </is>
      </c>
      <c r="D44" s="128" t="n">
        <v>1</v>
      </c>
      <c r="E44" s="131" t="n"/>
      <c r="F44" s="131">
        <f>IF(AND(D44&lt;&gt;"",E44&lt;&gt;""),D44*E44,"")</f>
        <v/>
      </c>
    </row>
    <row r="45" s="92">
      <c r="A45" s="128" t="inlineStr">
        <is>
          <t>5.7</t>
        </is>
      </c>
      <c r="B45" s="161" t="inlineStr">
        <is>
          <t>Uvezivanje kontrolera DEA sa Huawei kontrolno-upravljačkim sistemom (modul GIM01C1) i sa razvodnim ormarom signalizacije (ROS), te parametriranje kriterija automatskog starta po stanju napunjenosti baterija (SoC) te postavljanje ograničenja ulazne snage ispravljačkog sistema na maks. 9,5 kW za vrijeme rada agregata, prema Tački 3.1.</t>
        </is>
      </c>
      <c r="C45" s="128" t="inlineStr">
        <is>
          <t>kpl</t>
        </is>
      </c>
      <c r="D45" s="128" t="n">
        <v>1</v>
      </c>
      <c r="E45" s="131" t="n"/>
      <c r="F45" s="131">
        <f>IF(AND(D45&lt;&gt;"",E45&lt;&gt;""),D45*E45,"")</f>
        <v/>
      </c>
    </row>
    <row r="46" s="92">
      <c r="A46" s="128" t="inlineStr">
        <is>
          <t>5.8</t>
        </is>
      </c>
      <c r="B46" s="161" t="inlineStr">
        <is>
          <t>PROVJERA UZEMLJENJA I ELEKTRIČNIH INSTALACIJA sa izdavanjem stručnog nalaza ovlaštene kuće: mjerenje otpora uzemljenja i neprekidnosti zaštitnog vodiča, mjerenje otpora izolacije, ispitivanje zaštite od indirektnog dodira, provjera izjednačenja potencijala, funkcionalno ispitivanje automatskog starta DEA. Otpor uzemljenja mora zadovoljiti zahtjeve Projektnog zadatka.</t>
        </is>
      </c>
      <c r="C46" s="128" t="inlineStr">
        <is>
          <t>kpl</t>
        </is>
      </c>
      <c r="D46" s="128" t="n">
        <v>1</v>
      </c>
      <c r="E46" s="131" t="n"/>
      <c r="F46" s="131">
        <f>IF(AND(D46&lt;&gt;"",E46&lt;&gt;""),D46*E46,"")</f>
        <v/>
      </c>
    </row>
    <row r="47" s="92">
      <c r="A47" s="128" t="inlineStr">
        <is>
          <t>5.9</t>
        </is>
      </c>
      <c r="B47" s="161" t="inlineStr">
        <is>
          <t>Ostali sitni montažni i potrošni materijal.</t>
        </is>
      </c>
      <c r="C47" s="128" t="inlineStr">
        <is>
          <t>paušal</t>
        </is>
      </c>
      <c r="D47" s="128" t="n">
        <v>1</v>
      </c>
      <c r="E47" s="131" t="n"/>
      <c r="F47" s="131">
        <f>IF(AND(D47&lt;&gt;"",E47&lt;&gt;""),D47*E47,"")</f>
        <v/>
      </c>
    </row>
    <row r="48" s="92">
      <c r="A48" s="128" t="inlineStr">
        <is>
          <t>5.10</t>
        </is>
      </c>
      <c r="B48" s="161" t="inlineStr">
        <is>
          <t>Isporuka, montaža i povezivanje rasvjete i utičnica kontejnera — kontejner je PRAZAN, bez postojećih električnih instalacija. Obuhvata:
 - 1 kom LED svjetiljka IP65, svjetlosnog toka ≥1500 lm, 230 V iz GRO; druga svjetiljka kontejnera je LED svjetiljka 48 V DC sa prekidačem uz vrata iz Tačke 5.16, koja daje svjetlo i kad agregat ne radi
 - 2 kom utičnica 230 V / 16 A, IP44
 - prekidač rasvjete
 - bezhalogeni kablovi položeni u PVC kanalice, priključak na novi GRO iz Tačke 5.6
 - postojeća SIGNALNA RASVJETA (rasvjeta prepreke) antenskog stuba NE napaja se iz GRO: priključuje se na DC razvod −48 V iz Tačke 5.16, svjetiljka prema Tački 5.17 — rasvjeta prepreke je trajno noćno opterećenje i ne smije biti isključena prilikom rekonfiguracije napajanja
 - Ponuđač mjeri stvarnu snagu rasvjete prepreke i dostavlja je Kupcu radi provjere energetskog bilansa (Prilog I, Tačka 1)
Komplet sa spojnim materijalom, oznakama, ispitivanjem i jednopolnom shemom izvedenog stanja.</t>
        </is>
      </c>
      <c r="C48" s="128" t="inlineStr">
        <is>
          <t>kpl</t>
        </is>
      </c>
      <c r="D48" s="128" t="n">
        <v>1</v>
      </c>
      <c r="E48" s="131" t="n"/>
      <c r="F48" s="131">
        <f>IF(AND(D48&lt;&gt;"",E48&lt;&gt;""),D48*E48,"")</f>
        <v/>
      </c>
    </row>
    <row r="49" s="92">
      <c r="A49" s="128" t="inlineStr">
        <is>
          <t>5.11</t>
        </is>
      </c>
      <c r="B49" s="161" t="inlineStr">
        <is>
          <t>Isporuka i ugradnja odvodnika prenapona za SIGNALNE i KOMUNIKACIONE VODOVE prema EN 61643-21: na signalnom kablu J-Y(ST)Y i na Ethernet vodu prema kontroleru agregata i sistemu daljinskog nadzora, na oba kraja dionice. Objekat ima vanjski sistem zaštite od munje i rešetkasti antenski stub h=32 m (platforme na +3,0 / +12,0 / +30,0 m), pa je zaštita signalnih vodova obavezna prema EN 62305-4. Komplet sa nosačima, uzemljenjem odvodnika i ispitivanjem.</t>
        </is>
      </c>
      <c r="C49" s="128" t="inlineStr">
        <is>
          <t>kpl</t>
        </is>
      </c>
      <c r="D49" s="128" t="n">
        <v>1</v>
      </c>
      <c r="E49" s="131" t="n"/>
      <c r="F49" s="131">
        <f>IF(AND(D49&lt;&gt;"",E49&lt;&gt;""),D49*E49,"")</f>
        <v/>
      </c>
    </row>
    <row r="50" s="92">
      <c r="A50" s="128" t="inlineStr">
        <is>
          <t>5.12</t>
        </is>
      </c>
      <c r="B50" s="161" t="inlineStr">
        <is>
          <t>Isporuka i polaganje DC solarnog kabla 1×6 mm² (H1Z2Z2-K) od fotonaponskih panela do PVDB distribucije, uključujući MC4 konektore, obujmice i UV-otporne kanalice. NAPOMENA: završni priključak na ulaznu stezaljku iSSU modula izvesti presjekom 4 mm² prema izričitom zahtjevu proizvođača. Pad napona pri Imp 13,67 A i dužini 20 m iznosi 0,62 %. 2 stringa × 2 × 20,00 m</t>
        </is>
      </c>
      <c r="C50" s="128" t="inlineStr">
        <is>
          <t>m</t>
        </is>
      </c>
      <c r="D50" s="128" t="n">
        <v>80</v>
      </c>
      <c r="E50" s="131" t="n"/>
      <c r="F50" s="131">
        <f>IF(AND(D50&lt;&gt;"",E50&lt;&gt;""),D50*E50,"")</f>
        <v/>
      </c>
    </row>
    <row r="51" s="92">
      <c r="A51" s="128" t="inlineStr">
        <is>
          <t>5.13</t>
        </is>
      </c>
      <c r="B51" s="161" t="inlineStr">
        <is>
          <t>Isporuka i ugradnja odvodnika prenapona DC, tip 2 (Iimp ≥5 kA, Ucpv ≥425 V), ZA SVAKI STRING, sa pripadajućim rastavnim osiguračima, u PVDB ormaru koji obezbjeđuje Kupac ili u zasebnom kućištu min. IP55. Po jedan komplet po stringu (2 stringa × 6 modula, v. LOT 1, Tačka 1.1 i crtež H-05), zbog dužine DC trase od ≈20 m u jednom smjeru.</t>
        </is>
      </c>
      <c r="C51" s="128" t="inlineStr">
        <is>
          <t>kpl</t>
        </is>
      </c>
      <c r="D51" s="128" t="n">
        <v>2</v>
      </c>
      <c r="E51" s="131" t="n"/>
      <c r="F51" s="131">
        <f>IF(AND(D51&lt;&gt;"",E51&lt;&gt;""),D51*E51,"")</f>
        <v/>
      </c>
    </row>
    <row r="52" s="92">
      <c r="A52" s="128" t="inlineStr">
        <is>
          <t>5.14</t>
        </is>
      </c>
      <c r="B52" s="161" t="inlineStr">
        <is>
          <t>Montaža fotonaponskih panela na nosive konstrukcije iz LOT 1 i njihovo DC povezivanje u stringove, sa svim pripadajućim priborom za pričvršćenje, vođenjem i označavanjem kablova.
 - 12 modula 585 Wp na 3 nosača (po 4 modula), spoj u 2 stringa × 6 modula
 - DC veze: string 1 → PVDB → iSSU 1;  string 2 → PVDB → iSSU 2
 - GRO, sekcija SOLAR → Huawei iSSU
NAPOMENA: fotonaponske panele, PVDB i ostalu opremu hibridnog sistema obezbjeđuje Kupac (posebna nabavka). Ponuđač izvodi montažu, povezivanje, označavanje i ispitivanje.</t>
        </is>
      </c>
      <c r="C52" s="128" t="inlineStr">
        <is>
          <t>kpl</t>
        </is>
      </c>
      <c r="D52" s="128" t="n">
        <v>1</v>
      </c>
      <c r="E52" s="131" t="n"/>
      <c r="F52" s="131">
        <f>IF(AND(D52&lt;&gt;"",E52&lt;&gt;""),D52*E52,"")</f>
        <v/>
      </c>
    </row>
    <row r="53" s="92">
      <c r="A53" s="128" t="inlineStr">
        <is>
          <t>5.15</t>
        </is>
      </c>
      <c r="B53" s="161" t="inlineStr">
        <is>
          <t>Odspajanje (230 V AC, 48 V DC, signalizacija) i demontaža postojećeg kompaktnog zidnog klima-uređaja Stulz WDE80 (8 kW) na JUGOISTOČNOM (JI) zidu kontejnera, u sredini, BEZ otvaranja rashladnog kruga; pakovanje, utovar i transport u skladište BH Telecom d.d. na Alipašinom Polju, Sarajevo, istovar i zapisnik o primopredaji (tip, serijski broj, stanje). Otvori u zidu ostaju i koriste se za izlaz toplog zraka agregata (Tačka 4.6).</t>
        </is>
      </c>
      <c r="C53" s="128" t="inlineStr">
        <is>
          <t>kpl</t>
        </is>
      </c>
      <c r="D53" s="128" t="n">
        <v>1</v>
      </c>
      <c r="E53" s="131" t="n"/>
      <c r="F53" s="131">
        <f>IF(AND(D53&lt;&gt;"",E53&lt;&gt;""),D53*E53,"")</f>
        <v/>
      </c>
    </row>
    <row r="54" s="92">
      <c r="A54" s="128" t="inlineStr">
        <is>
          <t>5.16</t>
        </is>
      </c>
      <c r="B54" s="161" t="inlineStr">
        <is>
          <t>DC razvod −48 V za trajne potrošače: isporuka, montaža i povezivanje ormarića u kontejneru, napojenog sa slobodnog DC izvoda ormara Huawei ICC360-HA1-C1 (vlastiti zaštitni prekidač), kablom 2 × 6 mm² kroz zid kontejnera. DC prekidači za izvode: svjetiljka za obilježavanje stuba (Tačka 5.17), vatrodojavna centrala i punjač akumulatora za start agregata (preko DC/DC pretvarača iz Tačke 5.18), ventilator prostora (Tačka 4.8), predgrijač rashladne tečnosti agregata (Tačka 3.1) i rasvjeta kontejnera. Uključena jedna LED svjetiljka 48 V DC, IP65, sa prekidačem uz ulazna vrata — svjetlo i kad agregat ne radi. Signalizacija ispada prema SMU. Dozvoljena potrošnja trajnih potrošača: Prilog I, Tačka 4.5.</t>
        </is>
      </c>
      <c r="C54" s="128" t="inlineStr">
        <is>
          <t>kpl</t>
        </is>
      </c>
      <c r="D54" s="128" t="n">
        <v>1</v>
      </c>
      <c r="E54" s="131" t="n"/>
      <c r="F54" s="131">
        <f>IF(AND(D54&lt;&gt;"",E54&lt;&gt;""),D54*E54,"")</f>
        <v/>
      </c>
    </row>
    <row r="55" s="92">
      <c r="A55" s="128" t="inlineStr">
        <is>
          <t>5.17</t>
        </is>
      </c>
      <c r="B55" s="161" t="inlineStr">
        <is>
          <t>Svjetiljka za obilježavanje antenskog stuba 48 V DC: zamjena postojeće svjetiljke LED svjetiljkom za 48 V DC niskog intenziteta, sa foto-senzorom i nadzorom ispada; kabl od DC razvoda iz Tačke 5.16 do svjetiljke po postojećoj trasi uz stub; uključen rad na visini. Alternativa: postojeća svjetiljka ostaje i napaja se preko DC/AC pretvarača ≤100 W; Ponuđač bira rješenje. Dozvoljena potrošnja: Prilog I, Tačka 4.5.</t>
        </is>
      </c>
      <c r="C55" s="128" t="inlineStr">
        <is>
          <t>kpl</t>
        </is>
      </c>
      <c r="D55" s="128" t="n">
        <v>1</v>
      </c>
      <c r="E55" s="131" t="n"/>
      <c r="F55" s="131">
        <f>IF(AND(D55&lt;&gt;"",E55&lt;&gt;""),D55*E55,"")</f>
        <v/>
      </c>
    </row>
    <row r="56" s="92">
      <c r="A56" s="128" t="inlineStr">
        <is>
          <t>5.18</t>
        </is>
      </c>
      <c r="B56" s="161" t="inlineStr">
        <is>
          <t>DC/DC pretvarači za trajne potrošače, napojeni iz DC razvoda iz Tačke 5.16: 48 V → nazivni napon vatrodojavne centrale (centrala zadržava vlastite akumulatore prema EN 54-4) i punjač akumulatora za start agregata (48 V → 12/24 V prema agregatu), sa strujnim ograničenjem, zaštitom i signalizacijom.</t>
        </is>
      </c>
      <c r="C56" s="128" t="inlineStr">
        <is>
          <t>kpl</t>
        </is>
      </c>
      <c r="D56" s="128" t="n">
        <v>1</v>
      </c>
      <c r="E56" s="131" t="n"/>
      <c r="F56" s="131">
        <f>IF(AND(D56&lt;&gt;"",E56&lt;&gt;""),D56*E56,"")</f>
        <v/>
      </c>
    </row>
    <row r="57" s="92">
      <c r="A57" s="135" t="n"/>
      <c r="B57" s="167" t="inlineStr">
        <is>
          <t>UKUPNO 5 — ELEKTROMONTAŽNI RADOVI:</t>
        </is>
      </c>
      <c r="C57" s="168" t="n"/>
      <c r="D57" s="168" t="n"/>
      <c r="E57" s="137" t="n"/>
      <c r="F57" s="138">
        <f>SUM(F39:F56)</f>
        <v/>
      </c>
    </row>
    <row r="58"/>
    <row r="59" s="92">
      <c r="A59" s="125" t="inlineStr">
        <is>
          <t>6</t>
        </is>
      </c>
      <c r="B59" s="159" t="inlineStr">
        <is>
          <t>PUŠTANJE U RAD, OBUKA I DOKUMENTACIJA (DO POTPUNE GOTOVOSTI)</t>
        </is>
      </c>
      <c r="C59" s="160" t="n"/>
      <c r="D59" s="160" t="n"/>
      <c r="E59" s="127" t="n"/>
      <c r="F59" s="127" t="n"/>
    </row>
    <row r="60" s="92">
      <c r="A60" s="162" t="n"/>
      <c r="B60" s="169" t="n"/>
      <c r="C60" s="168" t="n"/>
      <c r="D60" s="168" t="n"/>
      <c r="E60" s="137" t="n"/>
      <c r="F60" s="162" t="n"/>
    </row>
    <row r="61" s="92">
      <c r="A61" s="128" t="inlineStr">
        <is>
          <t>6.1</t>
        </is>
      </c>
      <c r="B61" s="161" t="inlineStr">
        <is>
          <t>Puštanje u rad kompletnog sistema, funkcionalno testiranje automatskog starta DEA po kriteriju stanja baterija, testiranje prelaska izvora i 72-satni probni rad sa zapisom parametara.</t>
        </is>
      </c>
      <c r="C61" s="128" t="inlineStr">
        <is>
          <t>kpl</t>
        </is>
      </c>
      <c r="D61" s="128" t="n">
        <v>1</v>
      </c>
      <c r="E61" s="131" t="n"/>
      <c r="F61" s="131">
        <f>IF(AND(D61&lt;&gt;"",E61&lt;&gt;""),D61*E61,"")</f>
        <v/>
      </c>
    </row>
    <row r="62" s="92">
      <c r="A62" s="128" t="inlineStr">
        <is>
          <t>6.2</t>
        </is>
      </c>
      <c r="B62" s="161" t="inlineStr">
        <is>
          <t>Uvezivanje kontrolera DEA u krovni sistem nadzora i upravljanja BH Telecom-a (NetEco Management System), sa isporukom licenciranog softverskog paketa, instalacijom u nadzornom centru, uvezivanjem do najbližeg switcha i testiranjem prosljeđivanja alarma.</t>
        </is>
      </c>
      <c r="C62" s="128" t="inlineStr">
        <is>
          <t>kpl</t>
        </is>
      </c>
      <c r="D62" s="128" t="n">
        <v>1</v>
      </c>
      <c r="E62" s="131" t="n"/>
      <c r="F62" s="131">
        <f>IF(AND(D62&lt;&gt;"",E62&lt;&gt;""),D62*E62,"")</f>
        <v/>
      </c>
    </row>
    <row r="63" s="92">
      <c r="A63" s="128" t="inlineStr">
        <is>
          <t>6.3</t>
        </is>
      </c>
      <c r="B63" s="161" t="inlineStr">
        <is>
          <t>Obuka osoblja Investitora (do 4 osobe) za rukovanje i osnovno održavanje sistema, u trajanju od min. 1 radnog dana.</t>
        </is>
      </c>
      <c r="C63" s="128" t="inlineStr">
        <is>
          <t>kpl</t>
        </is>
      </c>
      <c r="D63" s="128" t="n">
        <v>1</v>
      </c>
      <c r="E63" s="131" t="n"/>
      <c r="F63" s="131">
        <f>IF(AND(D63&lt;&gt;"",E63&lt;&gt;""),D63*E63,"")</f>
        <v/>
      </c>
    </row>
    <row r="64" s="92">
      <c r="A64" s="128" t="inlineStr">
        <is>
          <t>6.4</t>
        </is>
      </c>
      <c r="B64" s="161" t="inlineStr">
        <is>
          <t>Izrada dokumentacije izvedenog stanja za kompletan LOT 2 (elektro, mašinski i građevinski dio), u 3 štampana primjerka i u elektronskoj formi (PDF + izvorni DWG/DOCX).</t>
        </is>
      </c>
      <c r="C64" s="128" t="inlineStr">
        <is>
          <t>kpl</t>
        </is>
      </c>
      <c r="D64" s="128" t="n">
        <v>1</v>
      </c>
      <c r="E64" s="131" t="n"/>
      <c r="F64" s="131">
        <f>IF(AND(D64&lt;&gt;"",E64&lt;&gt;""),D64*E64,"")</f>
        <v/>
      </c>
    </row>
    <row r="65" s="92">
      <c r="A65" s="135" t="n"/>
      <c r="B65" s="167" t="inlineStr">
        <is>
          <t>UKUPNO 6 — PUŠTANJE U RAD, OBUKA I DOKUMENTACIJA:</t>
        </is>
      </c>
      <c r="C65" s="168" t="n"/>
      <c r="D65" s="168" t="n"/>
      <c r="E65" s="137" t="n"/>
      <c r="F65" s="138">
        <f>SUM(F61:F64)</f>
        <v/>
      </c>
    </row>
    <row r="66"/>
    <row r="67" s="92">
      <c r="A67" s="170" t="n"/>
      <c r="B67" s="171" t="inlineStr">
        <is>
          <t>UKUPNO LOT 2 — BS HAMZIĆI (bez PDV-a):</t>
        </is>
      </c>
      <c r="C67" s="168" t="n"/>
      <c r="D67" s="168" t="n"/>
      <c r="E67" s="137" t="n"/>
      <c r="F67" s="172">
        <f>F36+F57+F65</f>
        <v/>
      </c>
    </row>
  </sheetData>
  <mergeCells count="2">
    <mergeCell ref="A2:F2"/>
    <mergeCell ref="A3:F3"/>
  </mergeCells>
  <printOptions horizontalCentered="0" verticalCentered="0" headings="0" gridLines="0" gridLinesSet="1"/>
  <pageMargins left="0.7" right="0.7" top="0.75" bottom="0.75" header="0.3" footer="0.511811023622047"/>
  <pageSetup orientation="portrait" paperSize="9" scale="100" fitToHeight="0" fitToWidth="1" pageOrder="downThenOver" blackAndWhite="0" draft="0" horizontalDpi="300" verticalDpi="300" copies="1"/>
  <headerFooter differentOddEven="0" differentFirst="0">
    <oddHeader>&amp;R&amp;"Times New Roman,Regular"&amp;12 &amp;"Arial,Regular"&amp;10 [BH Telecom | &amp;"Arial,Bold"Interno&amp;"Arial,Regular"]</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33"/>
  <sheetViews>
    <sheetView tabSelected="0" zoomScale="150" zoomScaleNormal="150" workbookViewId="0">
      <selection activeCell="A1" sqref="A1"/>
    </sheetView>
  </sheetViews>
  <sheetFormatPr baseColWidth="8" defaultColWidth="11.53515625" defaultRowHeight="15" customHeight="0" zeroHeight="0" outlineLevelRow="0"/>
  <cols>
    <col width="4.73" customWidth="1" style="92" min="1" max="1"/>
    <col width="80.59999999999999" customWidth="1" style="92" min="2" max="2"/>
    <col width="6.3" customWidth="1" style="92" min="3" max="3"/>
    <col width="4.17" customWidth="1" style="92" min="4" max="4"/>
    <col width="12.42" customWidth="1" style="92" min="5" max="5"/>
    <col width="14.29" customWidth="1" style="92" min="6" max="6"/>
  </cols>
  <sheetData>
    <row r="1" s="92">
      <c r="A1" s="93" t="inlineStr">
        <is>
          <t>PRILOG II TD</t>
        </is>
      </c>
    </row>
    <row r="2" s="92">
      <c r="A2" s="94" t="inlineStr">
        <is>
          <t>OBRAZAC ZA CIJENU PONUDE - REKAPITULACIJA (LOT 1 + LOT 2)</t>
        </is>
      </c>
    </row>
    <row r="3" ht="30" customHeight="1" s="92">
      <c r="A3" s="181" t="inlineStr">
        <is>
          <t>INFRASTRUKTURA I INSTALACIJA OPREME ZA AUTONOMNI HIBRIDNI SISTEM NAPAJANJA
BS SJEDNICA I BS HAMZIĆI (LOT 1 i 2)</t>
        </is>
      </c>
    </row>
    <row r="4"/>
    <row r="5" s="92">
      <c r="B5" s="148" t="inlineStr">
        <is>
          <t>Naziv Ponuđača:       __________________________________</t>
        </is>
      </c>
    </row>
    <row r="6" s="92">
      <c r="B6" s="148" t="inlineStr">
        <is>
          <t>Ponuda br.:              __________________________________</t>
        </is>
      </c>
    </row>
    <row r="7"/>
    <row r="8" ht="15" customHeight="1" s="92">
      <c r="B8" t="inlineStr">
        <is>
          <t>REKAPITULACIJA</t>
        </is>
      </c>
    </row>
    <row r="9" s="92">
      <c r="A9" s="125" t="n"/>
      <c r="B9" s="159" t="inlineStr">
        <is>
          <t>LOT 1 — KONSTRUKCIJA NOSAČA ZA FOTONAPONSKE PANELE</t>
        </is>
      </c>
      <c r="C9" s="160" t="n"/>
      <c r="D9" s="160" t="n"/>
      <c r="E9" s="127" t="n"/>
      <c r="F9" s="127" t="n"/>
    </row>
    <row r="10" s="92">
      <c r="A10" s="170" t="n"/>
      <c r="B10" s="161" t="inlineStr">
        <is>
          <t>BS Sjednica (Bileća) — LOT 1 bez PDV-a [KM]:</t>
        </is>
      </c>
      <c r="C10" s="168" t="n"/>
      <c r="D10" s="168" t="n"/>
      <c r="E10" s="137" t="n"/>
      <c r="F10" s="172">
        <f>'LOT 1 Sjednica'!F29</f>
        <v/>
      </c>
    </row>
    <row r="11" s="92">
      <c r="A11" s="170" t="n"/>
      <c r="B11" s="161" t="inlineStr">
        <is>
          <t>BS Hamzići (Čitluk) — LOT 1 bez PDV-a [KM]:</t>
        </is>
      </c>
      <c r="C11" s="168" t="n"/>
      <c r="D11" s="168" t="n"/>
      <c r="E11" s="137" t="n"/>
      <c r="F11" s="172">
        <f>'LOT 1 Hamzići'!F30</f>
        <v/>
      </c>
    </row>
    <row r="12" ht="15" customHeight="1" s="92">
      <c r="A12" s="173" t="n"/>
      <c r="B12" s="174" t="inlineStr">
        <is>
          <t>UKUPNO LOT 1 (BS Sjednica + BS Hamzići) bez PDV-a [KM]:</t>
        </is>
      </c>
      <c r="C12" s="168" t="n"/>
      <c r="D12" s="168" t="n"/>
      <c r="E12" s="137" t="n"/>
      <c r="F12" s="137">
        <f>SUM(F10:F11)</f>
        <v/>
      </c>
    </row>
    <row r="13" s="92">
      <c r="A13" s="125" t="n"/>
      <c r="B13" s="159" t="inlineStr">
        <is>
          <t>LOT 2 - INSTALACIJA AGREGATSKOG POSTROJENJA ZA HIBRIDNI SISTEM NAPAJANJA</t>
        </is>
      </c>
      <c r="C13" s="160" t="n"/>
      <c r="D13" s="160" t="n"/>
      <c r="E13" s="127" t="n"/>
      <c r="F13" s="127" t="n"/>
    </row>
    <row r="14" s="92">
      <c r="A14" s="170" t="n"/>
      <c r="B14" s="161" t="inlineStr">
        <is>
          <t>BS Sjednica (Bileća) — LOT 2 bez PDV-a [KM]:</t>
        </is>
      </c>
      <c r="C14" s="168" t="n"/>
      <c r="D14" s="168" t="n"/>
      <c r="E14" s="137" t="n"/>
      <c r="F14" s="172">
        <f>'LOT 2 Sjednica'!F66</f>
        <v/>
      </c>
    </row>
    <row r="15" s="92">
      <c r="A15" s="170" t="n"/>
      <c r="B15" s="161" t="inlineStr">
        <is>
          <t>BS Hamzići (Čitluk) — LOT 2 bez PDV-a [KM]:</t>
        </is>
      </c>
      <c r="C15" s="168" t="n"/>
      <c r="D15" s="168" t="n"/>
      <c r="E15" s="137" t="n"/>
      <c r="F15" s="172">
        <f>'LOT 2 Hamzići'!F67</f>
        <v/>
      </c>
    </row>
    <row r="16" ht="15" customHeight="1" s="92">
      <c r="A16" s="173" t="n"/>
      <c r="B16" s="174" t="inlineStr">
        <is>
          <t>UKUPNO LOT 2 (BS Sjednica + BS Hamzići) bez PDV-a [KM]:</t>
        </is>
      </c>
      <c r="C16" s="168" t="n"/>
      <c r="D16" s="168" t="n"/>
      <c r="E16" s="137" t="n"/>
      <c r="F16" s="137">
        <f>SUM(F14:F15)</f>
        <v/>
      </c>
    </row>
    <row r="17" ht="15" customHeight="1" s="92">
      <c r="A17" s="173" t="n"/>
      <c r="B17" s="174" t="inlineStr">
        <is>
          <t>SVE UKUPNO (LOT 1 + LOT 2) bez PDV-a [KM]:</t>
        </is>
      </c>
      <c r="C17" s="168" t="n"/>
      <c r="D17" s="168" t="n"/>
      <c r="E17" s="137" t="n"/>
      <c r="F17" s="137">
        <f>F12+F16</f>
        <v/>
      </c>
    </row>
    <row r="18" ht="15" customHeight="1" s="92">
      <c r="A18" s="173" t="n"/>
      <c r="B18" s="174" t="inlineStr">
        <is>
          <t>Popust [%]:</t>
        </is>
      </c>
      <c r="C18" s="168" t="n"/>
      <c r="D18" s="168" t="n"/>
      <c r="E18" s="137" t="n"/>
      <c r="F18" s="172" t="n"/>
    </row>
    <row r="19" ht="15" customHeight="1" s="92">
      <c r="A19" s="173" t="n"/>
      <c r="B19" s="174" t="inlineStr">
        <is>
          <t>SVE UKUPNO sa popustom bez PDV-a [KM]:</t>
        </is>
      </c>
      <c r="C19" s="168" t="n"/>
      <c r="D19" s="168" t="n"/>
      <c r="E19" s="137" t="n"/>
      <c r="F19" s="137">
        <f>F17*(1-IF(F18="",0,F18/100))</f>
        <v/>
      </c>
    </row>
    <row r="20" ht="15" customHeight="1" s="92">
      <c r="A20" s="173" t="n"/>
      <c r="B20" s="174" t="inlineStr">
        <is>
          <t>Iznos PDV-a (17 %) [KM]:</t>
        </is>
      </c>
      <c r="C20" s="168" t="n"/>
      <c r="D20" s="168" t="n"/>
      <c r="E20" s="137" t="n"/>
      <c r="F20" s="137">
        <f>F19*0.17</f>
        <v/>
      </c>
    </row>
    <row r="21" s="92">
      <c r="A21" s="128" t="n"/>
      <c r="B21" s="165" t="inlineStr">
        <is>
          <t>SVE UKUPNO sa popustom i PDV-om [KM]:</t>
        </is>
      </c>
      <c r="C21" s="147" t="n"/>
      <c r="D21" s="147" t="n"/>
      <c r="F21" s="91">
        <f>F19+F20</f>
        <v/>
      </c>
    </row>
    <row r="22"/>
    <row r="23" s="92">
      <c r="A23" s="176" t="n"/>
      <c r="B23" s="177" t="inlineStr">
        <is>
          <t>NAPOMENA:</t>
        </is>
      </c>
    </row>
    <row r="24" s="92">
      <c r="A24" s="178" t="n"/>
      <c r="B24" s="179" t="inlineStr">
        <is>
          <t>- Nabavka je podijeljena na dva LOT-a prema vrsti radova: LOT 1 — konstrukcija nosača za fotonaponske panele, LOT 2 — agregatsko postrojenje (DEA) u postojećem kontejneru. Svaki LOT obuhvata OBJE lokacije: BS Sjednica (Bileća) i BS Hamzići (Čitluk). Ponuđač može dostaviti ponudu za JEDAN ili OBA LOT-a. Ugovor se dodjeljuje po LOT-u, prema kriteriju najniže cijene tehnički zadovoljavajuće ponude.</t>
        </is>
      </c>
    </row>
    <row r="25" s="92">
      <c r="A25" s="178" t="n"/>
      <c r="B25" s="179" t="inlineStr">
        <is>
          <t>- Cijene se upisuju posebno za svaku lokaciju, na listovima „LOT 1 Sjednica“, „LOT 1 Hamzići“, „LOT 2 Sjednica“ i „LOT 2 Hamzići“; iznosi se automatski prenose u ovu rekapitulaciju.</t>
        </is>
      </c>
    </row>
    <row r="26" s="92">
      <c r="A26" s="178" t="n"/>
      <c r="B26" s="179" t="inlineStr">
        <is>
          <t>- Ugovorne obaveze nastaju po upućivanju pismenog zahtjeva/narudžbe od strane BH Telecom-a.</t>
        </is>
      </c>
    </row>
    <row r="27" s="92">
      <c r="A27" s="178" t="n"/>
      <c r="B27" s="179" t="inlineStr">
        <is>
          <t>- Količine u Tačkama 2. i 5. su orijentacione, posebno za svaku lokaciju, i utvrđene na osnovu podataka iz RFI dokumentacije. Konačne količine utvrđuju se elaboratom montaže i geodetskim snimkom, a obračunavaju se po stvarno izvedenim količinama.</t>
        </is>
      </c>
    </row>
    <row r="28" s="92">
      <c r="A28" s="178" t="n"/>
      <c r="B28" s="179" t="inlineStr">
        <is>
          <t>- LOT 2 obuhvata montažu i uvezivanje sistema DO POTPUNE GOTOVOSTI, na obje lokacije.</t>
        </is>
      </c>
    </row>
    <row r="29" s="92">
      <c r="A29" s="178" t="n"/>
      <c r="B29" s="179" t="inlineStr">
        <is>
          <t>- Grafički prilozi za obje lokacije (situacija postojećeg i budućeg stanja, presjek, dispozicija opreme) dati su u PRILOGU III tenderske dokumentacije.</t>
        </is>
      </c>
    </row>
    <row r="30"/>
    <row r="31" ht="15" customHeight="1" s="92">
      <c r="B31" s="148" t="inlineStr">
        <is>
          <t>Datum:  ___________________________</t>
        </is>
      </c>
    </row>
    <row r="32"/>
    <row r="33" ht="15" customHeight="1" s="92">
      <c r="B33" s="182" t="inlineStr">
        <is>
          <t>Potpis i pečat Ponuđača:  ___________________________</t>
        </is>
      </c>
    </row>
  </sheetData>
  <mergeCells count="2">
    <mergeCell ref="A3:F3"/>
    <mergeCell ref="A2:F2"/>
  </mergeCells>
  <printOptions horizontalCentered="0" verticalCentered="0" headings="0" gridLines="0" gridLinesSet="1"/>
  <pageMargins left="0.7" right="0.7" top="0.75" bottom="0.75" header="0.3" footer="0.511811023622047"/>
  <pageSetup orientation="portrait" paperSize="9" fitToHeight="0" fitToWidth="1"/>
  <headerFooter differentOddEven="0" differentFirst="0">
    <oddHeader>&amp;R&amp;"Times New Roman,Regular"&amp;12 &amp;"Arial,Regular"&amp;10 [BH Telecom | &amp;"Arial,Bold"Interno&amp;"Arial,Regular"]</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en-GB</dc:language>
  <dcterms:created xmlns:dcterms="http://purl.org/dc/terms/" xmlns:xsi="http://www.w3.org/2001/XMLSchema-instance" xsi:type="dcterms:W3CDTF">2026-08-06T15:05:01Z</dcterms:created>
  <dcterms:modified xmlns:dcterms="http://purl.org/dc/terms/" xmlns:xsi="http://www.w3.org/2001/XMLSchema-instance" xsi:type="dcterms:W3CDTF">2026-09-11T21:05:26Z</dcterms:modified>
  <cp:revision>6</cp:revision>
  <cp:keywords xml:space="preserve"> [BH Telecom | Interno]</cp:keywords>
</cp:coreProperties>
</file>

<file path=docProps/custom.xml><?xml version="1.0" encoding="utf-8"?>
<Properties xmlns="http://schemas.openxmlformats.org/officeDocument/2006/custom-properties">
  <property name="bjClsUserRVM" fmtid="{D5CDD505-2E9C-101B-9397-08002B2CF9AE}" pid="2">
    <vt:lpwstr xmlns:vt="http://schemas.openxmlformats.org/officeDocument/2006/docPropsVTypes">[]</vt:lpwstr>
  </property>
  <property name="bjDocumentLabelXML" fmtid="{D5CDD505-2E9C-101B-9397-08002B2CF9AE}" pid="3">
    <vt:lpwstr xmlns:vt="http://schemas.openxmlformats.org/officeDocument/2006/docPropsVTypes">&lt;?xml version="1.0" encoding="us-ascii"?&gt;&lt;sisl xmlns:xsi="http://www.w3.org/2001/XMLSchema-instance" xmlns:xsd="http://www.w3.org/2001/XMLSchema" sislVersion="0" policy="5f91bfb2-a9c1-45d0-8517-08b1f316eb15" origin="userSelected" xmlns="http://www.boldonj</vt:lpwstr>
  </property>
  <property name="bjDocumentLabelXML-0" fmtid="{D5CDD505-2E9C-101B-9397-08002B2CF9AE}" pid="4">
    <vt:lpwstr xmlns:vt="http://schemas.openxmlformats.org/officeDocument/2006/docPropsVTypes">ames.com/2008/01/sie/internal/label"&gt;&lt;element uid="id_classification_generalbusiness" value="" /&gt;&lt;/sisl&gt;</vt:lpwstr>
  </property>
  <property name="bjDocumentSecurityLabel" fmtid="{D5CDD505-2E9C-101B-9397-08002B2CF9AE}" pid="5">
    <vt:lpwstr xmlns:vt="http://schemas.openxmlformats.org/officeDocument/2006/docPropsVTypes">Interno</vt:lpwstr>
  </property>
  <property name="bjLabelHistoryID" fmtid="{D5CDD505-2E9C-101B-9397-08002B2CF9AE}" pid="6">
    <vt:lpwstr xmlns:vt="http://schemas.openxmlformats.org/officeDocument/2006/docPropsVTypes">{740AF07F-B5FD-4336-9AA5-5B70F58EC679}</vt:lpwstr>
  </property>
  <property name="bjRightHeaderLabel" fmtid="{D5CDD505-2E9C-101B-9397-08002B2CF9AE}" pid="7">
    <vt:lpwstr xmlns:vt="http://schemas.openxmlformats.org/officeDocument/2006/docPropsVTypes">&amp;"Times New Roman,Regular"&amp;12&amp;K000000 &amp;"Arial,Regular"&amp;10&amp;K000000[BH Telecom | &amp;B&amp;K000000Interno&amp;B&amp;K000000]</vt:lpwstr>
  </property>
  <property name="bjRightHeaderLabel-even" fmtid="{D5CDD505-2E9C-101B-9397-08002B2CF9AE}" pid="8">
    <vt:lpwstr xmlns:vt="http://schemas.openxmlformats.org/officeDocument/2006/docPropsVTypes">&amp;"Times New Roman,Regular"&amp;12&amp;K000000 &amp;"Arial,Regular"&amp;10&amp;K000000[BH Telecom | &amp;B&amp;K000000Interno&amp;B&amp;K000000]</vt:lpwstr>
  </property>
  <property name="bjRightHeaderLabel-first" fmtid="{D5CDD505-2E9C-101B-9397-08002B2CF9AE}" pid="9">
    <vt:lpwstr xmlns:vt="http://schemas.openxmlformats.org/officeDocument/2006/docPropsVTypes">&amp;"Times New Roman,Regular"&amp;12&amp;K000000 &amp;"Arial,Regular"&amp;10&amp;K000000[BH Telecom | &amp;B&amp;K000000Interno&amp;B&amp;K000000]</vt:lpwstr>
  </property>
  <property name="bjSaver" fmtid="{D5CDD505-2E9C-101B-9397-08002B2CF9AE}" pid="10">
    <vt:lpwstr xmlns:vt="http://schemas.openxmlformats.org/officeDocument/2006/docPropsVTypes">PBKzKNjp5eaEU3tBjVgEWI+fS8Y9fUcj</vt:lpwstr>
  </property>
  <property name="docIndexRef" fmtid="{D5CDD505-2E9C-101B-9397-08002B2CF9AE}" pid="11">
    <vt:lpwstr xmlns:vt="http://schemas.openxmlformats.org/officeDocument/2006/docPropsVTypes">8fb2bdcd-5e0f-4d13-acfc-f618c7274118</vt:lpwstr>
  </property>
</Properties>
</file>