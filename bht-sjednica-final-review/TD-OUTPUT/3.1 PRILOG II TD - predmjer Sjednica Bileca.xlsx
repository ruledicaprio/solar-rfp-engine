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LOT 1" sheetId="1" state="visible" r:id="rId1"/>
    <sheet name="LOT 2"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0&quot; KM&quot;"/>
  </numFmts>
  <fonts count="21">
    <font>
      <name val="Calibri"/>
      <charset val="1"/>
      <family val="2"/>
      <color theme="1"/>
      <sz val="11"/>
    </font>
    <font>
      <name val="Arial"/>
      <family val="0"/>
      <sz val="10"/>
    </font>
    <font>
      <name val="Arial"/>
      <family val="0"/>
      <sz val="10"/>
    </font>
    <font>
      <name val="Arial"/>
      <family val="0"/>
      <sz val="10"/>
    </font>
    <font>
      <name val="Arial"/>
      <charset val="238"/>
      <family val="2"/>
      <b val="1"/>
      <sz val="11"/>
    </font>
    <font>
      <name val="Arial"/>
      <charset val="238"/>
      <family val="2"/>
      <sz val="11"/>
    </font>
    <font>
      <name val="Arial"/>
      <charset val="1"/>
      <family val="0"/>
      <i val="1"/>
      <sz val="9"/>
    </font>
    <font>
      <name val="Arial"/>
      <charset val="1"/>
      <family val="0"/>
      <b val="1"/>
      <sz val="9"/>
    </font>
    <font>
      <name val="Arial"/>
      <charset val="1"/>
      <family val="0"/>
      <b val="1"/>
      <sz val="10"/>
    </font>
    <font>
      <name val="Arial"/>
      <charset val="1"/>
      <family val="0"/>
      <sz val="9"/>
    </font>
    <font>
      <name val="Arial"/>
      <charset val="238"/>
      <family val="2"/>
      <sz val="9"/>
    </font>
    <font>
      <name val="Arial"/>
      <charset val="238"/>
      <family val="2"/>
      <b val="1"/>
      <sz val="10"/>
    </font>
    <font>
      <name val="Cambria"/>
      <charset val="1"/>
      <family val="0"/>
      <b val="1"/>
      <sz val="10"/>
    </font>
    <font>
      <name val="Cambria"/>
      <charset val="1"/>
      <family val="0"/>
      <sz val="10"/>
    </font>
    <font>
      <name val="Arial"/>
      <charset val="1"/>
      <family val="2"/>
      <color theme="1"/>
      <sz val="11"/>
    </font>
    <font>
      <name val="Arial"/>
      <charset val="1"/>
      <family val="2"/>
      <sz val="9"/>
    </font>
    <font>
      <name val="Arial"/>
      <charset val="1"/>
      <family val="2"/>
      <i val="1"/>
      <sz val="9"/>
    </font>
    <font>
      <name val="Arial"/>
      <charset val="1"/>
      <family val="2"/>
      <b val="1"/>
      <sz val="9"/>
    </font>
    <font>
      <name val="Arial"/>
      <charset val="1"/>
      <family val="2"/>
      <b val="1"/>
      <sz val="10"/>
    </font>
    <font>
      <name val="Arial"/>
      <charset val="1"/>
      <family val="2"/>
      <color theme="1"/>
      <sz val="9"/>
    </font>
    <font>
      <name val="Arial"/>
      <charset val="238"/>
      <family val="2"/>
      <b val="1"/>
      <sz val="9"/>
    </font>
  </fonts>
  <fills count="8">
    <fill>
      <patternFill/>
    </fill>
    <fill>
      <patternFill patternType="gray125"/>
    </fill>
    <fill>
      <patternFill patternType="solid">
        <fgColor rgb="FFE8E8E8"/>
        <bgColor rgb="FFEBF1DE"/>
      </patternFill>
    </fill>
    <fill>
      <patternFill patternType="solid">
        <fgColor theme="6" tint="0.7999000000000001"/>
        <bgColor rgb="FFE8E8E8"/>
      </patternFill>
    </fill>
    <fill>
      <patternFill patternType="solid">
        <fgColor rgb="FFFFFF00"/>
        <bgColor rgb="FFFFFF00"/>
      </patternFill>
    </fill>
    <fill>
      <patternFill patternType="solid">
        <fgColor rgb="FFD9D9D9"/>
        <bgColor rgb="FFE8E8E8"/>
      </patternFill>
    </fill>
    <fill>
      <patternFill patternType="solid">
        <fgColor rgb="FFDCEEDC"/>
        <bgColor rgb="FFEBF1DE"/>
      </patternFill>
    </fill>
    <fill>
      <patternFill patternType="solid">
        <fgColor rgb="FFF8DEDE"/>
        <bgColor rgb="FFE8E8E8"/>
      </patternFill>
    </fill>
  </fills>
  <borders count="24">
    <border>
      <left/>
      <right/>
      <top/>
      <bottom/>
      <diagonal/>
    </border>
    <border>
      <left style="thin"/>
      <right style="thin">
        <color rgb="FF808080"/>
      </right>
      <top style="thin"/>
      <bottom/>
      <diagonal/>
    </border>
    <border>
      <left style="thin">
        <color rgb="FF808080"/>
      </left>
      <right style="thin">
        <color rgb="FF808080"/>
      </right>
      <top style="thin"/>
      <bottom/>
      <diagonal/>
    </border>
    <border>
      <left style="thin">
        <color rgb="FF808080"/>
      </left>
      <right style="thin"/>
      <top style="thin"/>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top/>
      <bottom/>
      <diagonal/>
    </border>
    <border>
      <left style="thin"/>
      <right/>
      <top/>
      <bottom style="thin"/>
      <diagonal/>
    </border>
    <border>
      <left/>
      <right/>
      <top/>
      <bottom style="thin"/>
      <diagonal/>
    </border>
    <border>
      <left/>
      <right style="thin"/>
      <top/>
      <bottom style="thin"/>
      <diagonal/>
    </border>
    <border>
      <left style="thin"/>
      <right style="thin"/>
      <top style="thin"/>
      <bottom/>
      <diagonal/>
    </border>
    <border>
      <left style="thin"/>
      <right style="thin">
        <color rgb="FF808080"/>
      </right>
      <top style="thin"/>
      <bottom style="thin"/>
      <diagonal/>
    </border>
    <border>
      <left/>
      <right style="thin">
        <color rgb="FF808080"/>
      </right>
      <top style="thin"/>
      <bottom style="thin"/>
      <diagonal/>
    </border>
    <border>
      <left style="thin">
        <color rgb="FF808080"/>
      </left>
      <right style="thin"/>
      <top/>
      <bottom style="thin"/>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bottom style="thin"/>
      <diagonal/>
    </border>
    <border>
      <left style="thin">
        <color rgb="FF808080"/>
      </left>
      <right style="thin"/>
      <top style="thin"/>
      <bottom style="thin"/>
      <diagonal/>
    </border>
    <border>
      <left style="thin">
        <color rgb="FF808080"/>
      </left>
      <right/>
      <top style="thin"/>
      <bottom style="thin">
        <color rgb="FF808080"/>
      </bottom>
      <diagonal/>
    </border>
    <border>
      <left/>
      <right/>
      <top style="thin"/>
      <bottom style="thin">
        <color rgb="FF808080"/>
      </bottom>
      <diagonal/>
    </border>
    <border>
      <left/>
      <right style="thin">
        <color rgb="FF808080"/>
      </right>
      <top style="thin"/>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EEDC"/>
      <rgbColor rgb="FFFFFF99"/>
      <rgbColor rgb="FF99CCFF"/>
      <rgbColor rgb="FFFF99CC"/>
      <rgbColor rgb="FFCC99FF"/>
      <rgbColor rgb="FFF8DED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54"/>
  <sheetViews>
    <sheetView showFormulas="0" showGridLines="1" showRowColHeaders="1" showZeros="1" rightToLeft="0" tabSelected="0" showOutlineSymbols="1" defaultGridColor="1" view="normal" topLeftCell="A28" colorId="64" zoomScale="150" zoomScaleNormal="150" zoomScalePageLayoutView="100" workbookViewId="0">
      <selection pane="topLeft" activeCell="B42" activeCellId="0" sqref="B42"/>
    </sheetView>
  </sheetViews>
  <sheetFormatPr baseColWidth="8" defaultColWidth="8.6796875" defaultRowHeight="15" customHeight="0" zeroHeight="0" outlineLevelRow="0"/>
  <cols>
    <col width="5.71" customWidth="1" style="91" min="1" max="1"/>
    <col width="72.14" customWidth="1" style="91" min="2" max="2"/>
    <col width="6.43" customWidth="1" style="91" min="3" max="3"/>
    <col width="7.42" customWidth="1" style="91" min="4" max="4"/>
    <col width="12.42" customWidth="1" style="91" min="5" max="5"/>
    <col width="14.29" customWidth="1" style="91" min="6" max="6"/>
  </cols>
  <sheetData>
    <row r="1" ht="15" customHeight="1" s="92">
      <c r="A1" s="93" t="inlineStr">
        <is>
          <t>PRILOG II TD</t>
        </is>
      </c>
    </row>
    <row r="2" ht="15" customHeight="1" s="92">
      <c r="A2" s="94" t="inlineStr">
        <is>
          <t>OBRAZAC ZA CIJENU PONUDE - LOT 1</t>
        </is>
      </c>
    </row>
    <row r="3" ht="15" customHeight="1" s="92">
      <c r="A3" s="94" t="inlineStr">
        <is>
          <t>INFRASTRUKTURA I INSTALACIJA OPREME ZA AUTONOMNI HIBRIDNI SISTEM NAPAJANJA SJEDNICA, BILEĆA (LOT 1 i 2)</t>
        </is>
      </c>
    </row>
    <row r="4"/>
    <row r="5" ht="15" customHeight="1" s="92">
      <c r="B5" s="95" t="inlineStr">
        <is>
          <t>Naziv Ponuđača:       __________________________________</t>
        </is>
      </c>
    </row>
    <row r="6" ht="15" customHeight="1" s="92">
      <c r="B6" s="95" t="inlineStr">
        <is>
          <t>Ponuda br.:                __________________________________</t>
        </is>
      </c>
    </row>
    <row r="7"/>
    <row r="8" ht="15" customHeight="1" s="92">
      <c r="A8" s="96" t="inlineStr">
        <is>
          <t>1</t>
        </is>
      </c>
      <c r="B8" s="97" t="inlineStr">
        <is>
          <t>2</t>
        </is>
      </c>
      <c r="C8" s="98" t="inlineStr">
        <is>
          <t>3</t>
        </is>
      </c>
      <c r="D8" s="98" t="inlineStr">
        <is>
          <t>4</t>
        </is>
      </c>
      <c r="E8" s="98" t="inlineStr">
        <is>
          <t>5</t>
        </is>
      </c>
      <c r="F8" s="99" t="inlineStr">
        <is>
          <t>6</t>
        </is>
      </c>
    </row>
    <row r="9" ht="24" customHeight="1" s="92">
      <c r="A9" s="100" t="inlineStr">
        <is>
          <t>r.br.</t>
        </is>
      </c>
      <c r="B9" s="101" t="inlineStr">
        <is>
          <t>Opis stavke</t>
        </is>
      </c>
      <c r="C9" s="100" t="inlineStr">
        <is>
          <t>Jed. mjere</t>
        </is>
      </c>
      <c r="D9" s="100" t="inlineStr">
        <is>
          <t>Količina</t>
        </is>
      </c>
      <c r="E9" s="100" t="inlineStr">
        <is>
          <t>Jed. cijena u KM bez PDV-a</t>
        </is>
      </c>
      <c r="F9" s="100" t="inlineStr">
        <is>
          <t>Ukupna cijena u KM bez PDV-a  6=(4x5)</t>
        </is>
      </c>
    </row>
    <row r="10" ht="15" customHeight="1" s="92">
      <c r="A10" s="102" t="n"/>
      <c r="B10" s="103" t="inlineStr">
        <is>
          <t>LOT 1 — KONSTRUKCIJA NOSAČA ZA FOTONAPONSKE PANELE</t>
        </is>
      </c>
      <c r="C10" s="104" t="n"/>
      <c r="D10" s="104" t="n"/>
      <c r="E10" s="105" t="n"/>
      <c r="F10" s="106" t="n"/>
    </row>
    <row r="11" ht="15" customHeight="1" s="92">
      <c r="A11" s="107" t="inlineStr">
        <is>
          <t>1</t>
        </is>
      </c>
      <c r="B11" s="108" t="inlineStr">
        <is>
          <t>NOSAČI ZA FOTONAPONSKE PANELE</t>
        </is>
      </c>
      <c r="C11" s="109" t="n"/>
      <c r="D11" s="109" t="n"/>
      <c r="E11" s="109" t="n"/>
      <c r="F11" s="110" t="n"/>
    </row>
    <row r="12" ht="24" customHeight="1" s="92">
      <c r="A12" s="111" t="inlineStr">
        <is>
          <t>1.1</t>
        </is>
      </c>
      <c r="B12" s="112" t="inlineStr">
        <is>
          <t>Isporuka i montaža nosive metalne konstrukcije (ground mount support) za prihvat fotonaponskih panela, karakteristika:
 - tip: CUSTOM IZRADA (izvan kataloga zbog opterećenja vjetrom, v. niže) — 4 odvojena nosača u jednom nizu, svaki za 3 fotonaponska modula (3 reda × 1 kolona, položeno); odvojeni nosači umjesto jednog velikog polja smanjuju silu vjetra po konstrukciji (zahtjev Naručioca); geometrija margina/prepusta preuzeta iz Huawei Standard A-Shaped Support 3.0 konvencije (PVM Tabela 4-20), ali poprečna greda izrađena po mjeri za 1 kolonu položenih modula, ne za kataloških 6
 - inklinacija: fiksno 45°, orijentacija JUGOZAPAD (azimut 225°), niz paralelan sa jugozapadnom ogradom (Naručilac 11.09.2026). Nagib je zadržan zbog decembarskog prinosa — pri podnevnoj visini Sunca 23,6° na 42,94° N nagib 45° ostvaruje 93 % direktnog zračenja u odnosu na 85 % pri 35°, a decembar je mjerodavni mjesec za dimenzionisanje autonomnog sistema
 - gabariti PV polja po nosaču (3 reda × 1 modul, položeno): širina polja 2278 mm (poprečna greda 2891 mm, bočni prepust 306,5 mm), dužina polja po nagibu 3442 mm (3 × 1134 mm + 2 × 20 mm), horizontalna projekcija 2434 mm pri nagibu 45°; donja ivica panela na +0,50 m, gornja ivica na +2,93 m od nivoa terena; razmak između nosača 400 mm, dužina niza 10 312 mm
 - smještaj: nosači se temelje IZVAN ograđenog platoa, jugozapadno od ograde (JZ strana), cca 0,40 m od ograde; odmak od ograde ponuđač utvrđuje pri poziciranju nosača tako da ravan panela nigdje ne dodiruje ogradu; gornja (sjeveroistočna) ivica panela je 0,83 m iznad kote ograde h=2,10 m. Ponuđač provjerava da konstrukcija u cijelosti ostaje unutar zakupljene parcele 16,00 × 9,40 m
 - MJERODAVNO OPTEREĆENJE VJETROM: qp ≥ 1,20 kN/m² (udar 3 s ≈ 45 m/s) prema ovjerenoj projektnoj dokumentaciji lokacije i BAS EN 1991-1-4 sa BiH nacionalnim aneksom, uz primjenu faktora orografije za izloženi planinski vrh na 1076 m n.v. Koeficijent sile cf ≥ 1,5 pri 45° prema EN 1991-1-4 §7.3, osim ako se proračunom dokaže drugačije. Površina izloženosti vjetru 7,84 m² po nosaču (2278 × 3442 mm). Projektne sile po nosaču (podizanje, horizontalna sila, moment prevrtanja) proizlaze iz koncepta konstrukcije koji Ponuđač nudi; Ponuđač ih iskazuje i dokazuje u tehničkom rješenju i statičkom proračunu iz Tačke 1.3. Mjerodavni su podizanje (uplift) i prevrtanje, a ne nosivost tla. NAPOMENA: kataloški nosač tipa A ima deklarisanu otpornost 31 m/s (0,52 kN/m²) pri 45° i 40 m/s (0,87 kN/m²) pri 15°/25°, što je ISPOD opterećenja ovog lokaliteta čak i za manje polje; Ponuđač je stoga dužan ponuditi konstrukciju dimenzionisanu i dokazanu za stvarno opterećenje lokaliteta, uz pisanu potvrdu proizvođača za konkretnu lokaciju (planinski vrh) ako se ipak nudi kataloški proizvod
 - materijal i izrada: konstrukcijski čelik S275JR (S355JR za stubove) prema EN 10025-2, šuplji profili prema EN 10219 — stubovi min. RHS 80×80×4, rigle min. RHS 60×40×3, ili bilo koji presjek za koji se proračunom dokaže najmanje jednak otporni moment; antikorozivna zaštita vrućim cinčanjem prema EN ISO 1461 min. 70 µm lokalno / 85 µm srednje (klasa korozivnosti C4); zavarivanje prema EN 1090-2 klasa izvedbe EXC2; CE označavanje i izjava o svojstvima prema EN 1090-1; konstrukcijski vijci M16 klase 8.8 prema EN 15048, pričvrsni pribor modula A2/A4 nehrđajući
 - spojni pribor: nehrđajući čelik A2/A4
 - uključeno ožičenje i povezivanje panela do PVDB distribucije preko po-string DC odvodnika prenapona (v. crtež E-01): 12 modula se povezuje u DVA STRINGA po 6 modula (string 1 — nosači PV-1 i PV-2; string 2 — nosači PV-3 i PV-4), po jedan string na svaku od dvije rute PVDB ormara
 - UZ PONUDU: Ponuđač je obavezan da uz ponudu dostavi tehničko rješenje konstrukcije za prihvat fotonaponskih panela za predmetnu lokaciju, sa obaveznim statičkim proračunom (Tačka 1.3) i specifikacijom materijala. Tehničko rješenje mora biti pregledano i odobreno prije početka izvođenja radova</t>
        </is>
      </c>
      <c r="C12" s="113" t="inlineStr">
        <is>
          <t>kpl</t>
        </is>
      </c>
      <c r="D12" s="113" t="n">
        <v>4</v>
      </c>
      <c r="E12" s="114" t="n"/>
      <c r="F12" s="114">
        <f>IF(AND(D12&lt;&gt;"",E12&lt;&gt;""),D12*E12,"")</f>
        <v/>
      </c>
    </row>
    <row r="13" ht="157.5" customHeight="1" s="92">
      <c r="A13" s="111" t="inlineStr">
        <is>
          <t>1.2</t>
        </is>
      </c>
      <c r="B13" s="112" t="inlineStr">
        <is>
          <t>Isporuka i ugradnja sistema sidrenja nosive konstrukcije iz Tačke 1.1 u stijenu/beton, hemijskim (epoksidnim) ankerima.
 - tip: hemijski (epoksidni/vinilesterski) anker M16 ili M20 sa ETA odobrenjem za ugradnju u beton i/ili stijenu, vruće cinčan ili nehrđajući A4
 - broj: najmanje 2 ankera po temeljnoj traci, odnosno 4 ankera po nosaču (minimum 2 po traci zbog redundanse)
 - nosivost i dubina ugradnje: prema ETA za konkretnu podlogu i prema statičkom proračunu iz Tačke 1.3; projektne sile ankerisanja proizlaze iz koncepta konstrukcije koji Ponuđač nudi i iskazuju se u tehničkom rješenju
 - dokazivanje: ispitivanje čupanjem (pull-out test) na najmanje 10 % ugrađenih ankera, minimalno 2 po nosaču, do 1,5 × projektne sile, uz zapisnik ovjeren od nadzornog organa
 - alternativa: livena U-anker sidra M16, dužine 320 mm, razmaka krakova 180 mm, sa pločama 50×50 mm i dvostrukim maticama, dozvoljena su SAMO uz gravitacioni temelj iz Tačke 2.4 (dvije trake po nosaču, tendovano 1,170 m³ po traci) — dovoljnost vlastite težine i lokalno istezanje trake dokazuju se statičkim proračunom iz Tačke 1.3</t>
        </is>
      </c>
      <c r="C13" s="113" t="inlineStr">
        <is>
          <t>kpl</t>
        </is>
      </c>
      <c r="D13" s="113" t="n">
        <v>4</v>
      </c>
      <c r="E13" s="114" t="n"/>
      <c r="F13" s="114">
        <f>IF(AND(D13&lt;&gt;"",E13&lt;&gt;""),D13*E13,"")</f>
        <v/>
      </c>
    </row>
    <row r="14" ht="95.25" customHeight="1" s="92">
      <c r="A14" s="115" t="inlineStr">
        <is>
          <t>1.3</t>
        </is>
      </c>
      <c r="B14" s="116" t="inlineStr">
        <is>
          <t>Statički proračun nosive konstrukcije i temelja, ovjeren i potpisan od strane ovlaštenog inženjera.
 - dokaz na dejstvo vjetra prema BAS EN 1991-1-4 sa BiH nacionalnim aneksom, uključujući faktor orografije za lokalitet
 - dokaz na opterećenje snijegom prema BAS EN 1991-1-3 i na radijalni led 20 mm gustine 300 kg/m³
 - dokaz sigurnosti na podizanje (uplift) i prevrtanje prema BAS EN 1990
 - dimenzionisanje čelične konstrukcije prema BAS EN 1993-1-1, izvedba prema BAS EN 1090-2
 - dimenzionisanje temelja i sidrenja prema stvarnim geotehničkim uslovima (kamenito tlo), uz navođenje dubine smrzavanja za lokalitet
NAPOMENA: Statički proračun se dostavlja u sklopu tehničkog rješenja i uslov je za počinjanje radova. Prije početka izvođenja radova tehničko rješenje mora biti pregledano i odobreno.</t>
        </is>
      </c>
      <c r="C14" s="117" t="inlineStr">
        <is>
          <t>kpl</t>
        </is>
      </c>
      <c r="D14" s="117" t="n">
        <v>1</v>
      </c>
      <c r="E14" s="118" t="n"/>
      <c r="F14" s="118">
        <f>IF(AND(D14&lt;&gt;"",E14&lt;&gt;""),D14*E14,"")</f>
        <v/>
      </c>
    </row>
    <row r="15" ht="63.75" customHeight="1" s="92">
      <c r="A15" s="115" t="inlineStr">
        <is>
          <t>1.4</t>
        </is>
      </c>
      <c r="B15" s="116" t="inlineStr">
        <is>
          <t>Uzemljenje nosivih konstrukcija: povezivanje sva četiri nosača na postojeći prstenasti uzemljivač lokacije bakarnim užetom presjeka 50 mm² sa izolacijom otpornom na UV zračenje i ukopavanje, preko priključnih stezaljki na konstrukciji i bimetalnih (Cu/Fe-Zn) ukrsnih komada radi sprječavanja galvanske korozije. Presjek prema EN 62305-3, Tabela 7, za odvođenje atmosferskog pražnjenja. Kontinuitet svih spojeva ≤0,1 Ω, ukupni otpor uzemljenja ≤10 Ω. DC kablovi se polažu na razmaku ≥0,5 m od odvoda gromobranske instalacije (Huawei §4.1.3).</t>
        </is>
      </c>
      <c r="C15" s="117" t="inlineStr">
        <is>
          <t>kpl</t>
        </is>
      </c>
      <c r="D15" s="117" t="n">
        <v>4</v>
      </c>
      <c r="E15" s="118" t="n"/>
      <c r="F15" s="118">
        <f>IF(AND(D15&lt;&gt;"",E15&lt;&gt;""),D15*E15,"")</f>
        <v/>
      </c>
    </row>
    <row r="16" ht="21.75" customHeight="1" s="92">
      <c r="A16" s="115" t="inlineStr">
        <is>
          <t>1.5</t>
        </is>
      </c>
      <c r="B16" s="119" t="inlineStr">
        <is>
          <t>Dokumentacija izvedenog stanja za LOT 1: kataloška dokumentacija nosača sa tehničkim crtežima, statički proračun, atesti materijala i vrućeg cinčanja, garantni list.</t>
        </is>
      </c>
      <c r="C16" s="117" t="inlineStr">
        <is>
          <t>kpl</t>
        </is>
      </c>
      <c r="D16" s="117" t="n">
        <v>1</v>
      </c>
      <c r="E16" s="118" t="n"/>
      <c r="F16" s="118">
        <f>IF(AND(D16&lt;&gt;"",E16&lt;&gt;""),D16*E16,"")</f>
        <v/>
      </c>
    </row>
    <row r="17" ht="24" customHeight="1" s="92">
      <c r="A17" s="115" t="n"/>
      <c r="B17" s="120" t="n"/>
      <c r="F17" s="118" t="n"/>
    </row>
    <row r="18" ht="24" customHeight="1" s="92">
      <c r="A18" s="121" t="inlineStr">
        <is>
          <t>UKUPNO 1 — NOSAČI ZA FOTONAPONSKE PANELE:</t>
        </is>
      </c>
      <c r="B18" s="122" t="n"/>
      <c r="C18" s="122" t="n"/>
      <c r="D18" s="122" t="n"/>
      <c r="E18" s="123" t="n"/>
      <c r="F18" s="124">
        <f>SUM(F12:F17)</f>
        <v/>
      </c>
    </row>
    <row r="19" ht="24" customHeight="1" s="92">
      <c r="A19" s="125" t="inlineStr">
        <is>
          <t>2</t>
        </is>
      </c>
      <c r="B19" s="126" t="inlineStr">
        <is>
          <t>GRAĐEVINSKI RADOVI</t>
        </is>
      </c>
      <c r="C19" s="127" t="n"/>
      <c r="D19" s="127" t="n"/>
      <c r="E19" s="127" t="n"/>
      <c r="F19" s="127" t="n"/>
    </row>
    <row r="20" ht="24" customHeight="1" s="92">
      <c r="A20" s="128" t="inlineStr">
        <is>
          <t>2.1</t>
        </is>
      </c>
      <c r="B20" s="129" t="inlineStr">
        <is>
          <t>Iskop zemlje/stijene IV-V kategorije za temeljne trake nosača, do donje ivice podložnog betona. Rov širine 500 mm, dubine 950 mm, dužine 2600 mm. 4 nosača × 2 trake × 1,235 m3. Rov se u stijeni siječe jednom širinom po cijeloj dubini; traka se betonira do zida rova, pa zatrpavanja nema.</t>
        </is>
      </c>
      <c r="C20" s="130" t="inlineStr">
        <is>
          <t>m3</t>
        </is>
      </c>
      <c r="D20" s="130" t="n">
        <v>9.880000000000001</v>
      </c>
      <c r="E20" s="131" t="n"/>
      <c r="F20" s="131">
        <f>IF(AND(D20&lt;&gt;"",E20&lt;&gt;""),D20*E20,"")</f>
        <v/>
      </c>
    </row>
    <row r="21" ht="15" customHeight="1" s="92">
      <c r="A21" s="128" t="inlineStr">
        <is>
          <t>2.2</t>
        </is>
      </c>
      <c r="B21" s="129" t="inlineStr">
        <is>
          <t>Odvoz i zbrinjavanje viška materijala od iskopa do deponije udaljene do 20 km. Traka i podložni beton ispunjavaju rov u cijelosti, pa se odvozi sav iskopani materijal. 4 nosača × 2 trake × 1,235 m3</t>
        </is>
      </c>
      <c r="C21" s="130" t="inlineStr">
        <is>
          <t>m3</t>
        </is>
      </c>
      <c r="D21" s="130" t="n">
        <v>9.880000000000001</v>
      </c>
      <c r="E21" s="131" t="n"/>
      <c r="F21" s="131">
        <f>IF(AND(D21&lt;&gt;"",E21&lt;&gt;""),D21*E21,"")</f>
        <v/>
      </c>
    </row>
    <row r="22" ht="21.75" customHeight="1" s="92">
      <c r="A22" s="128" t="inlineStr">
        <is>
          <t>2.3</t>
        </is>
      </c>
      <c r="B22" s="129" t="inlineStr">
        <is>
          <t>Nabavka materijala, transport i ugradnja podložnog betona C12/15 ispod temeljnih traka, prema zahtjevima proizvođača. 4 nosača × 2 trake × 0,065 m3</t>
        </is>
      </c>
      <c r="C22" s="130" t="inlineStr">
        <is>
          <t>m3</t>
        </is>
      </c>
      <c r="D22" s="130" t="n">
        <v>0.52</v>
      </c>
      <c r="E22" s="131" t="n"/>
      <c r="F22" s="131">
        <f>IF(AND(D22&lt;&gt;"",E22&lt;&gt;""),D22*E22,"")</f>
        <v/>
      </c>
    </row>
    <row r="23" ht="105.75" customHeight="1" s="92">
      <c r="A23" s="128" t="inlineStr">
        <is>
          <t>2.4</t>
        </is>
      </c>
      <c r="B23" s="129" t="inlineStr">
        <is>
          <t>Nabavka materijala, transport i betoniranje DVIJE temeljne trake po nosaču, betonom C30/37 klase izloženosti XC4 + XF3 prema BAS EN 206 (aerant 4–6 %, Dmax 16, konzistencija S3), uz upotrebu oplate i njegovanje betona. Armatura B500B, zaštitni sloj ≥50 mm, prema ovjerenom statičkom proračunu iz Tačke 1.3. Obračun po m³ ugrađenog betona. Traka 500 × 2600 mm, jedinstvene širine po cijeloj dubini (bez proširenja u dnu), PUNE dubine 900 mm = 1,170 m³ po traci. 4 nosača × 2 trake × 1,170 m³
BETON I ARMATURA: beton klase C30/37, klase izloženosti XC4 + XF3 prema BAS EN 206, sa aerantom 4–6 %, Dmax 16, konzistencija S3; podložni beton C12/15 d=50 mm; armatura B500B, zaštitni sloj ≥50 mm. Klasa XF3 je mjerodavna zbog cikličnog smrzavanja i odmrzavanja u vlažnom stanju na 1076 m n.v. Temeljna spojnica mora biti ispod dubine smrzavanja za lokalitet, koju Ponuđač navodi u ponudi. Dubina 900 mm je tenderska osnova i mjerodavna je za ponudu; konačnu dubinu i armaturu potvrđuje ovjereni statički proračun iz Tačke 1.3. Traka se betonira punom dubinom rova i do zida rova — vlastita težina trake je dio dokaza sigurnosti na podizanje i prevrtanje. Temelj širi u dnu nego u vrhu tražio bi potkopavanje i u stijeni nije izvodiv, pa je presjek jedinstven.</t>
        </is>
      </c>
      <c r="C23" s="130" t="inlineStr">
        <is>
          <t>m3</t>
        </is>
      </c>
      <c r="D23" s="130" t="n">
        <v>9.359999999999999</v>
      </c>
      <c r="E23" s="131" t="n"/>
      <c r="F23" s="131">
        <f>IF(AND(D23&lt;&gt;"",E23&lt;&gt;""),D23*E23,"")</f>
        <v/>
      </c>
    </row>
    <row r="24" ht="23.25" customHeight="1" s="92">
      <c r="A24" s="128" t="inlineStr">
        <is>
          <t>2.5</t>
        </is>
      </c>
      <c r="B24" s="133" t="inlineStr">
        <is>
          <t>Obrada vidljivih strana i gornje površine temeljnih traka cementnim malterom u nagibu 1,0 %, zaglađeno do crnog sjaja. 0,50 × 2,60 × 8 traka = 10,4 m².</t>
        </is>
      </c>
      <c r="C24" s="134" t="inlineStr">
        <is>
          <t>m2</t>
        </is>
      </c>
      <c r="D24" s="134" t="n">
        <v>10.4</v>
      </c>
      <c r="F24" s="131">
        <f>IF(AND(D24&lt;&gt;"",E24&lt;&gt;""),D24*E24,"")</f>
        <v/>
      </c>
    </row>
    <row r="25" ht="15" customHeight="1" s="92">
      <c r="A25" s="128" t="inlineStr">
        <is>
          <t>2.6</t>
        </is>
      </c>
      <c r="B25" s="132" t="inlineStr">
        <is>
          <t>Ostali sitni građevinski i potrošni materijal.</t>
        </is>
      </c>
      <c r="C25" s="130" t="inlineStr">
        <is>
          <t>paušal</t>
        </is>
      </c>
      <c r="D25" s="130" t="n">
        <v>1</v>
      </c>
      <c r="E25" s="131" t="n"/>
      <c r="F25" s="131">
        <f>IF(AND(D25&lt;&gt;"",E25&lt;&gt;""),D25*E25,"")</f>
        <v/>
      </c>
    </row>
    <row r="26" ht="15" customHeight="1" s="92">
      <c r="A26" s="135" t="n"/>
      <c r="B26" s="135" t="inlineStr">
        <is>
          <t>UKUPNO 2 — GRAĐEVINSKI RADOVI ZA NOSAČE FN PANELA:</t>
        </is>
      </c>
      <c r="C26" s="136" t="n"/>
      <c r="D26" s="136" t="n"/>
      <c r="E26" s="137" t="n"/>
      <c r="F26" s="138">
        <f>SUM(F20:F25)</f>
        <v/>
      </c>
    </row>
    <row r="27" ht="24" customHeight="1" s="92"/>
    <row r="28" ht="15" customHeight="1" s="92">
      <c r="A28" s="139" t="n"/>
      <c r="B28" s="139" t="inlineStr">
        <is>
          <t>UKUPNO LOT 1 — NOSAČI ZA FOTONAPONSKE PANELE (bez PDV-a):</t>
        </is>
      </c>
      <c r="C28" s="136" t="n"/>
      <c r="D28" s="137" t="n"/>
      <c r="E28" s="137" t="n"/>
      <c r="F28" s="140">
        <f>F18+F26</f>
        <v/>
      </c>
    </row>
    <row r="29" ht="24" customHeight="1" s="92"/>
    <row r="30" ht="36" customHeight="1" s="92">
      <c r="A30" s="141" t="n"/>
      <c r="B30" s="141" t="inlineStr">
        <is>
          <t>REKAPITULACIJA — LOT 1</t>
        </is>
      </c>
      <c r="C30" s="122" t="n"/>
      <c r="D30" s="122" t="n"/>
      <c r="E30" s="142" t="n"/>
      <c r="F30" s="143" t="n"/>
    </row>
    <row r="31" ht="36" customHeight="1" s="92">
      <c r="A31" s="144" t="n"/>
      <c r="B31" s="144" t="inlineStr">
        <is>
          <t>UKUPNO LOT 1 (bez PDV-a):</t>
        </is>
      </c>
      <c r="C31" s="122" t="n"/>
      <c r="D31" s="122" t="n"/>
      <c r="E31" s="142" t="n"/>
      <c r="F31" s="145">
        <f>F28</f>
        <v/>
      </c>
    </row>
    <row r="32" ht="24" customHeight="1" s="92">
      <c r="A32" s="144" t="n"/>
      <c r="B32" s="144" t="inlineStr">
        <is>
          <t>Popust (%):</t>
        </is>
      </c>
      <c r="C32" s="122" t="n"/>
      <c r="D32" s="122" t="n"/>
      <c r="E32" s="142" t="n"/>
      <c r="F32" s="145" t="n"/>
    </row>
    <row r="33" ht="24" customHeight="1" s="92">
      <c r="A33" s="144" t="n"/>
      <c r="B33" s="144" t="inlineStr">
        <is>
          <t>UKUPNO LOT 1 sa popustom (bez PDV-a):</t>
        </is>
      </c>
      <c r="C33" s="122" t="n"/>
      <c r="D33" s="122" t="n"/>
      <c r="E33" s="142" t="n"/>
      <c r="F33" s="145">
        <f>F31*(1-IF(F32="",0,F32/100))</f>
        <v/>
      </c>
    </row>
    <row r="34" ht="15" customHeight="1" s="92">
      <c r="A34" s="144" t="n"/>
      <c r="B34" s="144" t="inlineStr">
        <is>
          <t>PDV 17%:</t>
        </is>
      </c>
      <c r="C34" s="122" t="n"/>
      <c r="D34" s="122" t="n"/>
      <c r="E34" s="142" t="n"/>
      <c r="F34" s="145">
        <f>F33*0.17</f>
        <v/>
      </c>
    </row>
    <row r="35" ht="15" customHeight="1" s="92">
      <c r="A35" s="141" t="n"/>
      <c r="B35" s="141" t="inlineStr">
        <is>
          <t>UKUPNO LOT 1 sa PDV-om:</t>
        </is>
      </c>
      <c r="C35" s="122" t="n"/>
      <c r="D35" s="122" t="n"/>
      <c r="E35" s="142" t="n"/>
      <c r="F35" s="143">
        <f>F33+F34</f>
        <v/>
      </c>
    </row>
    <row r="36"/>
    <row r="37" ht="24" customHeight="1" s="92"/>
    <row r="38" ht="24" customHeight="1" s="92"/>
    <row r="39"/>
    <row r="40" ht="24" customHeight="1" s="92"/>
    <row r="41" ht="156" customHeight="1" s="92"/>
    <row r="42" ht="24" customHeight="1" s="92"/>
    <row r="43"/>
    <row r="44"/>
    <row r="45"/>
    <row r="46" ht="15" customHeight="1" s="92">
      <c r="A46" s="91" t="n"/>
    </row>
    <row r="47"/>
    <row r="48" ht="15" customHeight="1" s="92">
      <c r="A48" s="91" t="n"/>
    </row>
    <row r="49"/>
    <row r="50" ht="15" customHeight="1" s="92">
      <c r="A50" s="91" t="n"/>
    </row>
    <row r="51" ht="15" customHeight="1" s="92">
      <c r="A51" s="91" t="n"/>
    </row>
    <row r="52" ht="15" customHeight="1" s="92">
      <c r="A52" s="91" t="n"/>
    </row>
    <row r="53" ht="15" customHeight="1" s="92">
      <c r="A53" s="91" t="n"/>
    </row>
    <row r="54" ht="24" customHeight="1" s="92">
      <c r="A54" s="91" t="n"/>
    </row>
    <row r="56" ht="24" customHeight="1" s="92"/>
    <row r="80" ht="24" customHeight="1" s="92"/>
    <row r="81" ht="24" customHeight="1" s="92"/>
    <row r="83" ht="24" customHeight="1" s="92"/>
    <row r="87" ht="24" customHeight="1" s="92"/>
    <row r="88" ht="36" customHeight="1" s="92"/>
    <row r="98" ht="24" customHeight="1" s="92"/>
    <row r="99" ht="24" customHeight="1" s="92"/>
    <row r="100" ht="24" customHeight="1" s="92"/>
    <row r="104" ht="24" customHeight="1" s="92"/>
    <row r="105" ht="24" customHeight="1" s="92"/>
    <row r="107" ht="24" customHeight="1" s="92"/>
    <row r="109" ht="24" customHeight="1" s="92"/>
    <row r="111" ht="24" customHeight="1" s="92"/>
    <row r="114" ht="36" customHeight="1" s="92"/>
    <row r="115" ht="24" customHeight="1" s="92"/>
    <row r="116" ht="84" customHeight="1" s="92"/>
    <row r="117" ht="24" customHeight="1" s="92"/>
    <row r="118" ht="24" customHeight="1" s="92"/>
    <row r="119" ht="24" customHeight="1" s="92"/>
    <row r="120" ht="24" customHeight="1" s="92"/>
    <row r="121" ht="48" customHeight="1" s="92"/>
    <row r="123" ht="36" customHeight="1" s="92"/>
    <row r="125" ht="24" customHeight="1" s="92"/>
    <row r="126" ht="24" customHeight="1" s="92"/>
    <row r="127" ht="48" customHeight="1" s="92"/>
    <row r="128" ht="24" customHeight="1" s="92"/>
    <row r="130" ht="36" customHeight="1" s="92"/>
    <row r="134" ht="24" customHeight="1" s="92"/>
    <row r="135" ht="24" customHeight="1" s="92"/>
    <row r="136" ht="36" customHeight="1" s="92"/>
    <row r="137" ht="24" customHeight="1" s="92"/>
    <row r="142" ht="36" customHeight="1" s="92"/>
    <row r="143" ht="36" customHeight="1" s="92"/>
    <row r="144" ht="36" customHeight="1" s="92"/>
    <row r="146" ht="24" customHeight="1" s="92"/>
    <row r="147" ht="24" customHeight="1" s="92"/>
    <row r="149" ht="24" customHeight="1" s="92"/>
    <row r="155" ht="48" customHeight="1" s="92"/>
    <row r="156" ht="24" customHeight="1" s="92"/>
    <row r="157" ht="48" customHeight="1" s="92"/>
    <row r="162" ht="36" customHeight="1" s="92"/>
    <row r="163" ht="24" customHeight="1" s="92"/>
    <row r="164" ht="36" customHeight="1" s="92"/>
    <row r="166" ht="24" customHeight="1" s="92"/>
    <row r="1048574" ht="12.75" customHeight="1" s="92"/>
    <row r="1048575" ht="12.75" customHeight="1" s="92"/>
  </sheetData>
  <mergeCells count="9">
    <mergeCell ref="A2:F2"/>
    <mergeCell ref="A54:E54"/>
    <mergeCell ref="A52:E52"/>
    <mergeCell ref="A53:E53"/>
    <mergeCell ref="A51:E51"/>
    <mergeCell ref="A50:E50"/>
    <mergeCell ref="A46:E46"/>
    <mergeCell ref="A48:D48"/>
    <mergeCell ref="A3:F3"/>
  </mergeCells>
  <printOptions horizontalCentered="1" verticalCentered="0" headings="0" gridLines="0" gridLinesSet="1"/>
  <pageMargins left="0.75" right="0.75" top="1" bottom="1" header="0.5" footer="0.511811023622047"/>
  <pageSetup orientation="landscape" paperSize="1" scale="100" fitToHeight="1"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F147"/>
  <sheetViews>
    <sheetView showFormulas="0" showGridLines="1" showRowColHeaders="1" showZeros="1" rightToLeft="0" tabSelected="1" showOutlineSymbols="1" defaultGridColor="1" view="normal" topLeftCell="A7" colorId="64" zoomScale="150" zoomScaleNormal="150" zoomScalePageLayoutView="100" workbookViewId="0">
      <selection pane="topLeft" activeCell="E12" activeCellId="0" sqref="E12"/>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45.81" customWidth="1" style="91" min="5" max="5"/>
    <col width="5" customWidth="1" style="91" min="6" max="6"/>
  </cols>
  <sheetData>
    <row r="1" s="92">
      <c r="A1" s="93" t="inlineStr">
        <is>
          <t>PRILOG II TD</t>
        </is>
      </c>
    </row>
    <row r="2" s="92">
      <c r="A2" s="94" t="inlineStr">
        <is>
          <t>OBRAZAC ZA CIJENU PONUDE - LOT 2</t>
        </is>
      </c>
    </row>
    <row r="3" s="92">
      <c r="A3" s="94" t="inlineStr">
        <is>
          <t>INFRASTRUKTURA I INSTALACIJA OPREME ZA AUTONOMNI HIBRIDNI SISTEM NAPAJANJA SJEDNICA, BILEĆA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preko 1000 m (lokacija 1076 m n.v.);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(≈82 % derativane prime snage na 1076 m n.v. i +40 °C, koja iznosi 11,6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(„04 AG dio", tačka 4.4.2.3).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sredini jugoistočne strane ograde (svijetla širina cca 1,00 m) i ulazna vrata kontejnera 900 × 2000 mm; ponuđač bira način unosa i dužan je u ponudi potvrditi izvodljivost
 - SERVISNI PROSTOR ( prema crtežu M-01): agregat se postavlja CENTRIRANO u slobodnom prostoru kontejnera, sa najmanje 720 mm sa JUGOZAPADNE i 720 mm sa SJEVEROISTOČNE strane (520 mm na dijelu gdje je GRO) te 1155 mm sa JUGOISTOČNE strane. Sa SJEVEROZAPADNE strane je hladnjak, koji izduvava u kanal kroz zid i ne servisira se s te strane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JUŽNI ugao kontejnera (uz JZ i JI zid), prema crtežu M-01
 - odušna cijev izvedena IZVAN kontejnera,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PRELAZNI KOMAD od prirubnice hladnjaka do žaluzine 600 × 600 mm kroz SJEVEROZAPADNI (SZ) zid; hladnjak je 60 mm od zida, pa je razvijena površina ≈1,0 m². Stvarnu mjeru uzeti na licu mjesta prema ponuđenom agregatu.
RASPORED (OBAVEZNO, prema crtežu M-01): kanal se vodi najkraćim putem od radijatora kroz SJEVEROZAPADNI (SZ) zid kontejnera do izlazne žaluzine iz Tačke 4.6.</t>
        </is>
      </c>
      <c r="C20" s="128" t="inlineStr">
        <is>
          <t>kpl</t>
        </is>
      </c>
      <c r="D20" s="128" t="n">
        <v>1</v>
      </c>
      <c r="E20" s="131" t="n"/>
      <c r="F20" s="131">
        <f>IF(AND(D20&lt;&gt;"",E20&lt;&gt;""),D20*E20,"")</f>
        <v/>
      </c>
    </row>
    <row r="21" s="92">
      <c r="A21" s="128" t="inlineStr">
        <is>
          <t>4.6</t>
        </is>
      </c>
      <c r="B21" s="161" t="inlineStr">
        <is>
          <t>Isporuka i montaža fiksne žaluzine na kraju kanala za odvod toplog zraka, dimenzija 600 × 600 mm, sa zaštitnom mrežicom, komplet sa montažnim materijalom.
RASPORED (OBAVEZNO, prema crtežu M-01): žaluzina se ugrađuje u SJEVEROZAPADNI (SZ) zid kontejnera, na osi radijatora agregata. Topli zrak i izduv se NE smiju izbacivati prema SJEVEROISTOČNOJ (SI) strani, gdje se nalaze postojeći vanjski ormari ICC360-HA1-C1 i MTS9302A i gdje se nalazi usis svježeg zraka.</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M-01): žaluzina se ugrađuje u SJEVEROISTOČNI (SI) zid kontejnera, na jugoistočnom kraju, sa donjom ivicom na cca 0,30 m od poda. Sjeveroistočna strana je zasjenjena veći dio dana i daje najhladniji usisni zrak, čime se poboljšava hlađenje agregata. Žaluzina se postavlja jugoistočno od vanjskih ormara ICC360-HA1-C1/MTS9302A kako se ne bi usisavao topli zrak sa njih. Prostorna udaljenost od izduva i od odušne cijevi spremnika ≥3 m.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M-01): ventilator se ugrađuje u JUGOISTOČNI (JI) zid kontejnera, u gornjoj zoni (donja ivica cca 1,75 m), sjeveroistočno od ulaznih vrata.</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i završena IZNAD KROVA, usmjereno naviše, sa kapom protiv upada padavina. Na kraju izduvne cijevi postaviti HVATAČ ISKRI. Dužine: od elastičnog umetka do prigušivača, sa jednim lukom 90°, 1 m; od prigušivača do izlaza iznad krova, do 4 m. Komplet sa elastičnim umetkom, lukovima i montažnim materijalom.
TRASA: fleksibilni spoj i prigušivač neposredno iza motora, uspon uz SJEVEROZAPADNI (SZ) zid kontejnera, završetak IZNAD KROVA usmjeren naviše, sa hvatačem iskri.
NO 50: sa agregatom 18 kVA protok izduvnih gasova je 192 m³/h pri 413 °C, brzina 27,2 m/s (ispod uobičajenih 30 m/s), protutlak ≈1,9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do 5 m iz Tačke 4.10 i vanjski prečnik izolacije ≈165 mm razvijena površina je ≈3,0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5" t="inlineStr">
        <is>
          <t>Set rezervnih dijelova za 500 sati rada DEA po preporuci proizvođača.</t>
        </is>
      </c>
      <c r="C33" s="147" t="inlineStr">
        <is>
          <t>kpl</t>
        </is>
      </c>
      <c r="D33" s="147" t="n">
        <v>1</v>
      </c>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15 m1 i krak uzemljivačke trake do nosača, ukupno do 30 m1. Obračun po ostvarenom m1.</t>
        </is>
      </c>
      <c r="C39" s="128" t="inlineStr">
        <is>
          <t>m1</t>
        </is>
      </c>
      <c r="D39" s="128" t="n">
        <v>30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15,00 m</t>
        </is>
      </c>
      <c r="C40" s="128" t="inlineStr">
        <is>
          <t>m</t>
        </is>
      </c>
      <c r="D40" s="128" t="n">
        <v>45</v>
      </c>
      <c r="E40" s="131" t="n"/>
      <c r="F40" s="131">
        <f>IF(AND(D40&lt;&gt;"",E40&lt;&gt;""),D40*E40,"")</f>
        <v/>
      </c>
    </row>
    <row r="41" s="92">
      <c r="A41" s="128" t="inlineStr">
        <is>
          <t>5.3</t>
        </is>
      </c>
      <c r="B41" s="161" t="inlineStr">
        <is>
          <t>Isporuka i polaganje vruće pocinčane uzemljivačke trake Fe/Zn 25×4 mm (presjek min. 100 mm², debljina min. 2,5 mm), na dubini od 1,00 m obzirom da se radi o planinskoj lokaciji (izbjegavanje efekta zaleđivanja tla), sa svim radovima na povezivanju na postojeći prstenasti uzemljivač radi izjednačenja potencijala.</t>
        </is>
      </c>
      <c r="C41" s="128" t="inlineStr">
        <is>
          <t>m</t>
        </is>
      </c>
      <c r="D41" s="128" t="n">
        <v>40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 energetski kabl dužine do 15 m, tip NYY-J 5×6 mm²
 - signalni kabl dužine do 15 m, tip J-Y(ST)Y 4×2×0,6 mm²
 - komunikacioni Ethernet kabl dužine do 15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orijentacionih dimenzija 0,60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(antenski stub h=38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5"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47" t="inlineStr">
        <is>
          <t>kpl</t>
        </is>
      </c>
      <c r="D45" s="147" t="n">
        <v>1</v>
      </c>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Snimanje postojećeg stanja i prevezivanje postojećih strujnih krugova na novi GRO iz Tačke 5.6. Obuhvata:
 - snimanje i evidentiranje svih 7 postojećih strujnih krugova postojećeg razvoda, sa mjerenjem opterećenja i izradom jednopolne sheme zatečenog stanja
 - prevezivanje krugova na odgovarajuće izvode novog GRO, sa označavanjem
 - SIGNALNA RASVJETA antenskog stuba h=38 m (krug K7) NE prevezuje se na novi GRO: priključuje se na DC razvod −48 V iz Tačke 5.16, svjetiljka prema Tački 5.17, sa nadzorom ispada i dojavom u sistem daljinskog nadzora — rasvjeta prepreke je trajno noćno opterećenje i ne smije biti isključena prilikom rekonfiguracije napajanja
 - Ponuđač mjeri stvarnu snagu rasvjete prepreke i dostavlja je Kupcu radi provjere energetskog bilansa (Prilog I, Tačka 1)
Komplet sa spojnim materijalom, oznakama, ispitivanjem i ažuriranom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antenski stub h=38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25 m iznosi 0,78 %. 2 stringa × 2 × 25,00 m</t>
        </is>
      </c>
      <c r="C50" s="128" t="inlineStr">
        <is>
          <t>m</t>
        </is>
      </c>
      <c r="D50" s="128" t="n">
        <v>100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E-01), zbog dužine DC trase od 25 m.</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c r="A53" s="128" t="inlineStr">
        <is>
          <t>5.16</t>
        </is>
      </c>
      <c r="B53"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3" s="128" t="inlineStr">
        <is>
          <t>kpl</t>
        </is>
      </c>
      <c r="D53" s="128" t="n">
        <v>1</v>
      </c>
      <c r="E53" s="131" t="n"/>
      <c r="F53" s="131">
        <f>IF(AND(D53&lt;&gt;"",E53&lt;&gt;""),D53*E53,"")</f>
        <v/>
      </c>
    </row>
    <row r="54">
      <c r="A54" s="128" t="inlineStr">
        <is>
          <t>5.17</t>
        </is>
      </c>
      <c r="B54"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4" s="128" t="inlineStr">
        <is>
          <t>kpl</t>
        </is>
      </c>
      <c r="D54" s="128" t="n">
        <v>1</v>
      </c>
      <c r="E54" s="131" t="n"/>
      <c r="F54" s="131">
        <f>IF(AND(D54&lt;&gt;"",E54&lt;&gt;""),D54*E54,"")</f>
        <v/>
      </c>
    </row>
    <row r="55">
      <c r="A55" s="128" t="inlineStr">
        <is>
          <t>5.18</t>
        </is>
      </c>
      <c r="B55"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5" s="128" t="inlineStr">
        <is>
          <t>kpl</t>
        </is>
      </c>
      <c r="D55" s="128" t="n">
        <v>1</v>
      </c>
      <c r="E55" s="131" t="n"/>
      <c r="F55" s="131">
        <f>IF(AND(D55&lt;&gt;"",E55&lt;&gt;""),D55*E55,"")</f>
        <v/>
      </c>
    </row>
    <row r="56" s="92">
      <c r="A56" s="135" t="n"/>
      <c r="B56" s="167" t="inlineStr">
        <is>
          <t>UKUPNO 5 — ELEKTROMONTAŽNI RADOVI:</t>
        </is>
      </c>
      <c r="C56" s="168" t="n"/>
      <c r="D56" s="168" t="n"/>
      <c r="E56" s="137" t="n"/>
      <c r="F56" s="138">
        <f>SUM(F39:F55)</f>
        <v/>
      </c>
    </row>
    <row r="57"/>
    <row r="58" s="92">
      <c r="A58" s="125" t="inlineStr">
        <is>
          <t>6</t>
        </is>
      </c>
      <c r="B58" s="159" t="inlineStr">
        <is>
          <t>PUŠTANJE U RAD, OBUKA I DOKUMENTACIJA (DO POTPUNE GOTOVOSTI)</t>
        </is>
      </c>
      <c r="C58" s="160" t="n"/>
      <c r="D58" s="160" t="n"/>
      <c r="E58" s="127" t="n"/>
      <c r="F58" s="127" t="n"/>
    </row>
    <row r="59" s="92">
      <c r="A59" s="162" t="n"/>
      <c r="B59" s="169" t="n"/>
      <c r="C59" s="168" t="n"/>
      <c r="D59" s="168" t="n"/>
      <c r="E59" s="137" t="n"/>
      <c r="F59" s="162" t="n"/>
    </row>
    <row r="60" s="92">
      <c r="A60" s="128" t="inlineStr">
        <is>
          <t>6.1</t>
        </is>
      </c>
      <c r="B60" s="161" t="inlineStr">
        <is>
          <t>Puštanje u rad kompletnog sistema, funkcionalno testiranje automatskog starta DEA po kriteriju stanja baterija, testiranje prelaska izvora i 72-satni probni rad sa zapisom parametara.</t>
        </is>
      </c>
      <c r="C60" s="128" t="inlineStr">
        <is>
          <t>kpl</t>
        </is>
      </c>
      <c r="D60" s="128" t="n">
        <v>1</v>
      </c>
      <c r="E60" s="131" t="n"/>
      <c r="F60" s="131">
        <f>IF(AND(D60&lt;&gt;"",E60&lt;&gt;""),D60*E60,"")</f>
        <v/>
      </c>
    </row>
    <row r="61" s="92">
      <c r="A61" s="128" t="inlineStr">
        <is>
          <t>6.2</t>
        </is>
      </c>
      <c r="B61" s="165" t="inlineStr">
        <is>
          <t>Uvezivanje kontrolera DEA u krovni sistem nadzora i upravljanja BH Telecom-a (NetEco Management System), sa isporukom licenciranog softverskog paketa, instalacijom u nadzornom centru, uvezivanjem do najbližeg switcha i testiranjem prosljeđivanja alarma.</t>
        </is>
      </c>
      <c r="C61" s="147" t="inlineStr">
        <is>
          <t>kpl</t>
        </is>
      </c>
      <c r="D61" s="147" t="n">
        <v>1</v>
      </c>
      <c r="F61" s="131">
        <f>IF(AND(D61&lt;&gt;"",E61&lt;&gt;""),D61*E61,"")</f>
        <v/>
      </c>
    </row>
    <row r="62" s="92">
      <c r="A62" s="128" t="inlineStr">
        <is>
          <t>6.3</t>
        </is>
      </c>
      <c r="B62" s="161" t="inlineStr">
        <is>
          <t>Obuka osoblja Investitora (do 4 osobe) za rukovanje i osnovno održavanje sistema, u trajanju od min. 1 radnog dana.</t>
        </is>
      </c>
      <c r="C62" s="128" t="inlineStr">
        <is>
          <t>kpl</t>
        </is>
      </c>
      <c r="D62" s="128" t="n">
        <v>1</v>
      </c>
      <c r="E62" s="131" t="n"/>
      <c r="F62" s="131">
        <f>IF(AND(D62&lt;&gt;"",E62&lt;&gt;""),D62*E62,"")</f>
        <v/>
      </c>
    </row>
    <row r="63" s="92">
      <c r="A63" s="128" t="inlineStr">
        <is>
          <t>6.4</t>
        </is>
      </c>
      <c r="B63" s="165" t="inlineStr">
        <is>
          <t>Izrada dokumentacije izvedenog stanja za kompletan LOT 2 (elektro, mašinski i građevinski dio), u 3 štampana primjerka i u elektronskoj formi (PDF + izvorni DWG/DOCX).</t>
        </is>
      </c>
      <c r="C63" s="147" t="inlineStr">
        <is>
          <t>kpl</t>
        </is>
      </c>
      <c r="D63" s="147" t="n">
        <v>1</v>
      </c>
      <c r="F63" s="91">
        <f>IF(AND(D63&lt;&gt;"",E63&lt;&gt;""),D63*E63,"")</f>
        <v/>
      </c>
    </row>
    <row r="64" s="92">
      <c r="A64" s="135" t="n"/>
      <c r="B64" s="167" t="inlineStr">
        <is>
          <t>UKUPNO 6 — PUŠTANJE U RAD, OBUKA I DOKUMENTACIJA:</t>
        </is>
      </c>
      <c r="C64" s="168" t="n"/>
      <c r="D64" s="168" t="n"/>
      <c r="E64" s="137" t="n"/>
      <c r="F64" s="138">
        <f>SUM(F60:F63)</f>
        <v/>
      </c>
    </row>
    <row r="65"/>
    <row r="66" s="92">
      <c r="A66" s="170" t="n"/>
      <c r="B66" s="171" t="inlineStr">
        <is>
          <t>UKUPNO LOT 2 — DEA U POSTOJEĆEM KONTEJNERU (bez PDV-a):</t>
        </is>
      </c>
      <c r="C66" s="168" t="n"/>
      <c r="D66" s="168" t="n"/>
      <c r="E66" s="137" t="n"/>
      <c r="F66" s="172">
        <f>F36+F56+F64</f>
        <v/>
      </c>
    </row>
    <row r="67"/>
    <row r="68" s="92">
      <c r="A68" s="173" t="n"/>
      <c r="B68" s="174" t="inlineStr">
        <is>
          <t>REKAPITULACIJA</t>
        </is>
      </c>
      <c r="C68" s="168" t="n"/>
      <c r="D68" s="168" t="n"/>
      <c r="E68" s="137" t="n"/>
      <c r="F68" s="137" t="n"/>
    </row>
    <row r="69" s="92">
      <c r="A69" s="162" t="n"/>
      <c r="B69" s="175" t="n"/>
      <c r="C69" s="168" t="n"/>
      <c r="D69" s="168" t="n"/>
      <c r="E69" s="137" t="n"/>
      <c r="F69" s="131">
        <f>'LOT 1'!F29</f>
        <v/>
      </c>
    </row>
    <row r="70" s="92">
      <c r="A70" s="162" t="n"/>
      <c r="B70" s="175" t="n"/>
      <c r="C70" s="168" t="n"/>
      <c r="D70" s="168" t="n"/>
      <c r="E70" s="137" t="n"/>
      <c r="F70" s="131">
        <f>F66</f>
        <v/>
      </c>
    </row>
    <row r="71" s="92">
      <c r="A71" s="135" t="n"/>
      <c r="B71" s="167" t="inlineStr">
        <is>
          <t>SVE UKUPNO (LOT 1 + LOT 2) bez PDV-a [KM]:</t>
        </is>
      </c>
      <c r="C71" s="168" t="n"/>
      <c r="D71" s="168" t="n"/>
      <c r="E71" s="137" t="n"/>
      <c r="F71" s="138">
        <f>SUM(F69:F70)</f>
        <v/>
      </c>
    </row>
    <row r="72" s="92">
      <c r="A72" s="135" t="n"/>
      <c r="B72" s="167" t="inlineStr">
        <is>
          <t>Popust [%]:</t>
        </is>
      </c>
    </row>
    <row r="73" s="92">
      <c r="A73" s="135" t="n"/>
      <c r="B73" s="167" t="inlineStr">
        <is>
          <t>SVE UKUPNO sa popustom bez PDV-a [KM]:</t>
        </is>
      </c>
      <c r="F73" s="91">
        <f>F71*(1-IF(F72="",0,F72/100))</f>
        <v/>
      </c>
    </row>
    <row r="74" s="92">
      <c r="A74" s="135" t="n"/>
      <c r="B74" s="167" t="inlineStr">
        <is>
          <t>Iznos PDV-a (17%) [KM]:</t>
        </is>
      </c>
      <c r="F74" s="91">
        <f>F73*0.17</f>
        <v/>
      </c>
    </row>
    <row r="75" s="92">
      <c r="A75" s="135" t="n"/>
      <c r="B75" s="167" t="inlineStr">
        <is>
          <t>SVE UKUPNO sa popustom i PDV-om [KM]:</t>
        </is>
      </c>
      <c r="F75" s="91">
        <f>F73+F74</f>
        <v/>
      </c>
    </row>
    <row r="76"/>
    <row r="77" s="92">
      <c r="A77" s="176" t="n"/>
      <c r="B77" s="177" t="inlineStr">
        <is>
          <t>NAPOMENA:</t>
        </is>
      </c>
    </row>
    <row r="78" s="92">
      <c r="A78" s="178" t="n"/>
      <c r="B78" s="179" t="inlineStr">
        <is>
          <t>- Nabavka je podijeljena na dva LOT-a. Ponuđač može dostaviti ponudu za JEDAN ili OBA LOT-a. Ugovor se dodjeljuje po LOT-u, prema kriteriju najniže cijene tehnički zadovoljavajuće ponude.</t>
        </is>
      </c>
    </row>
    <row r="79" s="92">
      <c r="A79" s="178" t="n"/>
      <c r="B79" s="179" t="inlineStr">
        <is>
          <t>- Ugovorne obaveze nastaju po upućivanju pismenog zahtjeva/narudžbe od strane BH Telecom-a.</t>
        </is>
      </c>
    </row>
    <row r="80" s="92">
      <c r="A80" s="178" t="n"/>
      <c r="B80" s="179" t="inlineStr">
        <is>
          <t>- Količine u Tačkama 2. i 5. su orijentacione i utvrđene na osnovu podataka iz RFI dokumente. Konačne količine utvrđuju se elaboratom montaže i geodetskim snimkom, a obračunavaju se po stvarno izvedenim količinama.</t>
        </is>
      </c>
    </row>
    <row r="81" s="92">
      <c r="A81" s="178" t="n"/>
      <c r="B81" s="179" t="inlineStr">
        <is>
          <t>- LOT 2 obuhvata montažu i uvezivanje sistema DO POTPUNE GOTOVOSTI.</t>
        </is>
      </c>
    </row>
    <row r="82" s="92">
      <c r="A82" s="178" t="n"/>
      <c r="B82" s="179" t="inlineStr">
        <is>
          <t>- Grafički prilozi (situacija postojećeg i budućeg stanja, presjek, dispozicija opreme) dati su u PRILOGU III tenderske dokumentacije.</t>
        </is>
      </c>
    </row>
    <row r="83"/>
    <row r="84" s="92">
      <c r="B84" s="148" t="inlineStr">
        <is>
          <t>Datum:  ___________________________</t>
        </is>
      </c>
      <c r="E84" s="180" t="inlineStr">
        <is>
          <t>Potpis i pečat Ponuđača:  ___________________________</t>
        </is>
      </c>
    </row>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s="92">
      <c r="A127" s="91" t="n"/>
    </row>
    <row r="128"/>
    <row r="129"/>
    <row r="130"/>
    <row r="131"/>
    <row r="132"/>
    <row r="133"/>
    <row r="134"/>
    <row r="135" s="92">
      <c r="A135" s="91" t="n"/>
    </row>
    <row r="136" s="92">
      <c r="A136" s="91" t="n"/>
    </row>
    <row r="137" s="92">
      <c r="A137" s="91" t="n"/>
    </row>
    <row r="138" s="92">
      <c r="A138" s="91" t="n"/>
    </row>
    <row r="139"/>
    <row r="140"/>
    <row r="141"/>
    <row r="142"/>
    <row r="143"/>
    <row r="144"/>
    <row r="145"/>
    <row r="146"/>
    <row r="147" s="92">
      <c r="A147" s="91" t="n"/>
    </row>
    <row r="1048578" s="92"/>
    <row r="1048579" s="92"/>
  </sheetData>
  <mergeCells count="8">
    <mergeCell ref="A2:F2"/>
    <mergeCell ref="A138:E138"/>
    <mergeCell ref="A137:E137"/>
    <mergeCell ref="A147:F147"/>
    <mergeCell ref="A3:F3"/>
    <mergeCell ref="A135:E135"/>
    <mergeCell ref="A127:E127"/>
    <mergeCell ref="A136:E136"/>
  </mergeCells>
  <printOptions horizontalCentered="0" verticalCentered="0" headings="0" gridLines="0" gridLinesSet="1"/>
  <pageMargins left="0.7" right="0.7" top="0.75" bottom="0.75" header="0.3" footer="0.511811023622047"/>
  <pageSetup orientation="portrait" paperSize="9" scale="100" fitToHeight="1"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en-GB</dc:language>
  <dcterms:created xsi:type="dcterms:W3CDTF">2026-08-06T15:05:01Z</dcterms:created>
  <dcterms:modified xsi:type="dcterms:W3CDTF">2026-09-14T06:39:17Z</dcterms:modified>
  <cp:revision>6</cp:revision>
  <cp:keywords xml:space="preserve"> [BH Telecom | Interno]</cp:keywords>
</cp:coreProperties>
</file>

<file path=docProps/custom.xml><?xml version="1.0" encoding="utf-8"?>
<Properties xmlns:vt="http://schemas.openxmlformats.org/officeDocument/2006/docPropsVTypes" xmlns="http://schemas.openxmlformats.org/officeDocument/2006/custom-properties">
  <property name="bjClsUserRVM" fmtid="{D5CDD505-2E9C-101B-9397-08002B2CF9AE}" pid="2">
    <vt:lpwstr>[]</vt:lpwstr>
  </property>
  <property name="bjDocumentLabelXML" fmtid="{D5CDD505-2E9C-101B-9397-08002B2CF9AE}" pid="3">
    <vt:lpwstr>&lt;?xml version="1.0" encoding="us-ascii"?&gt;&lt;sisl xmlns:xsi="http://www.w3.org/2001/XMLSchema-instance" xmlns:xsd="http://www.w3.org/2001/XMLSchema" sislVersion="0" policy="5f91bfb2-a9c1-45d0-8517-08b1f316eb15" origin="userSelected" xmlns="http://www.boldonj</vt:lpwstr>
  </property>
  <property name="bjDocumentLabelXML-0" fmtid="{D5CDD505-2E9C-101B-9397-08002B2CF9AE}" pid="4">
    <vt:lpwstr>ames.com/2008/01/sie/internal/label"&gt;&lt;element uid="id_classification_generalbusiness" value="" /&gt;&lt;/sisl&gt;</vt:lpwstr>
  </property>
  <property name="bjDocumentSecurityLabel" fmtid="{D5CDD505-2E9C-101B-9397-08002B2CF9AE}" pid="5">
    <vt:lpwstr>Interno</vt:lpwstr>
  </property>
  <property name="bjLabelHistoryID" fmtid="{D5CDD505-2E9C-101B-9397-08002B2CF9AE}" pid="6">
    <vt:lpwstr>{740AF07F-B5FD-4336-9AA5-5B70F58EC679}</vt:lpwstr>
  </property>
  <property name="bjRightHeaderLabel" fmtid="{D5CDD505-2E9C-101B-9397-08002B2CF9AE}" pid="7">
    <vt:lpwstr>&amp;"Times New Roman,Regular"&amp;12&amp;K000000 &amp;"Arial,Regular"&amp;10&amp;K000000[BH Telecom | &amp;B&amp;K000000Interno&amp;B&amp;K000000]</vt:lpwstr>
  </property>
  <property name="bjRightHeaderLabel-even" fmtid="{D5CDD505-2E9C-101B-9397-08002B2CF9AE}" pid="8">
    <vt:lpwstr>&amp;"Times New Roman,Regular"&amp;12&amp;K000000 &amp;"Arial,Regular"&amp;10&amp;K000000[BH Telecom | &amp;B&amp;K000000Interno&amp;B&amp;K000000]</vt:lpwstr>
  </property>
  <property name="bjRightHeaderLabel-first" fmtid="{D5CDD505-2E9C-101B-9397-08002B2CF9AE}" pid="9">
    <vt:lpwstr>&amp;"Times New Roman,Regular"&amp;12&amp;K000000 &amp;"Arial,Regular"&amp;10&amp;K000000[BH Telecom | &amp;B&amp;K000000Interno&amp;B&amp;K000000]</vt:lpwstr>
  </property>
  <property name="bjSaver" fmtid="{D5CDD505-2E9C-101B-9397-08002B2CF9AE}" pid="10">
    <vt:lpwstr>PBKzKNjp5eaEU3tBjVgEWI+fS8Y9fUcj</vt:lpwstr>
  </property>
  <property name="docIndexRef" fmtid="{D5CDD505-2E9C-101B-9397-08002B2CF9AE}" pid="11">
    <vt:lpwstr>8fb2bdcd-5e0f-4d13-acfc-f618c7274118</vt:lpwstr>
  </property>
</Properties>
</file>